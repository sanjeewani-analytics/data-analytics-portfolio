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user\Desktop\AI PROJECTS WITH ALEX\Professional DATA ANALYST Development Programme - From Day 24\Client Project - 004\Project 004 - PORTFOLIO\"/>
    </mc:Choice>
  </mc:AlternateContent>
  <xr:revisionPtr revIDLastSave="0" documentId="13_ncr:1_{7870EB05-C6C6-4FC2-91B4-D4B85BF7F8C7}" xr6:coauthVersionLast="47" xr6:coauthVersionMax="47" xr10:uidLastSave="{00000000-0000-0000-0000-000000000000}"/>
  <bookViews>
    <workbookView xWindow="-108" yWindow="-108" windowWidth="23256" windowHeight="12456" firstSheet="6" activeTab="8" xr2:uid="{E73B5272-7E68-4ED5-A2A3-EE67DB924702}"/>
  </bookViews>
  <sheets>
    <sheet name="Operational Back-log" sheetId="5" r:id="rId1"/>
    <sheet name="Complaints by Category" sheetId="7" r:id="rId2"/>
    <sheet name="High Priority Complaints" sheetId="8" r:id="rId3"/>
    <sheet name="Avg Satisfaction by Category" sheetId="10" r:id="rId4"/>
    <sheet name="Support_Teams" sheetId="2" r:id="rId5"/>
    <sheet name="Customer_Complaints" sheetId="1" r:id="rId6"/>
    <sheet name="EDA_Observations &amp; KPI Devpmt" sheetId="3" r:id="rId7"/>
    <sheet name="Executive Dashboard" sheetId="9" r:id="rId8"/>
    <sheet name="Mgmt Report &amp; Recomm" sheetId="11" r:id="rId9"/>
  </sheet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9" l="1"/>
  <c r="N10" i="9"/>
  <c r="N9" i="9"/>
  <c r="N8" i="9"/>
  <c r="N6" i="9"/>
  <c r="N7" i="9"/>
  <c r="D34" i="1"/>
  <c r="D35" i="1"/>
</calcChain>
</file>

<file path=xl/sharedStrings.xml><?xml version="1.0" encoding="utf-8"?>
<sst xmlns="http://schemas.openxmlformats.org/spreadsheetml/2006/main" count="405" uniqueCount="211">
  <si>
    <t>Region</t>
  </si>
  <si>
    <t>Customer Segment</t>
  </si>
  <si>
    <t>Complaint Category</t>
  </si>
  <si>
    <t>Priority</t>
  </si>
  <si>
    <t>Team_ID</t>
  </si>
  <si>
    <t>Resolution Status</t>
  </si>
  <si>
    <t>Resolution Days</t>
  </si>
  <si>
    <t>Satisfaction Score</t>
  </si>
  <si>
    <t>Complaint ID</t>
  </si>
  <si>
    <t>Date Received</t>
  </si>
  <si>
    <t>Team ID</t>
  </si>
  <si>
    <t>Team Name</t>
  </si>
  <si>
    <t>Team Leader</t>
  </si>
  <si>
    <t>Department</t>
  </si>
  <si>
    <t>Staff Count</t>
  </si>
  <si>
    <t>Avg Experience Years</t>
  </si>
  <si>
    <t>C0001</t>
  </si>
  <si>
    <t>North</t>
  </si>
  <si>
    <t>Retail</t>
  </si>
  <si>
    <t>Billing</t>
  </si>
  <si>
    <t>High</t>
  </si>
  <si>
    <t>T01</t>
  </si>
  <si>
    <t>Closed</t>
  </si>
  <si>
    <t>C0002</t>
  </si>
  <si>
    <t>South</t>
  </si>
  <si>
    <t>Corporate</t>
  </si>
  <si>
    <t>Delivery</t>
  </si>
  <si>
    <t>Medium</t>
  </si>
  <si>
    <t>T03</t>
  </si>
  <si>
    <t>C0003</t>
  </si>
  <si>
    <t>East</t>
  </si>
  <si>
    <t>Product Quality</t>
  </si>
  <si>
    <t>T05</t>
  </si>
  <si>
    <t>C0004</t>
  </si>
  <si>
    <t>West</t>
  </si>
  <si>
    <t>Government</t>
  </si>
  <si>
    <t>Technical Support</t>
  </si>
  <si>
    <t>Low</t>
  </si>
  <si>
    <t>T02</t>
  </si>
  <si>
    <t>C0005</t>
  </si>
  <si>
    <t>Central</t>
  </si>
  <si>
    <t>Service Delay</t>
  </si>
  <si>
    <t>T04</t>
  </si>
  <si>
    <t>Pending</t>
  </si>
  <si>
    <t>C0006</t>
  </si>
  <si>
    <t>C0007</t>
  </si>
  <si>
    <t>C0008</t>
  </si>
  <si>
    <t>Open</t>
  </si>
  <si>
    <t>C0009</t>
  </si>
  <si>
    <t>C0010</t>
  </si>
  <si>
    <t>C0011</t>
  </si>
  <si>
    <t>C0012</t>
  </si>
  <si>
    <t>C0013</t>
  </si>
  <si>
    <t>C0014</t>
  </si>
  <si>
    <t>C0015</t>
  </si>
  <si>
    <t>Phase - 1</t>
  </si>
  <si>
    <t>Data Quality Assessment Report</t>
  </si>
  <si>
    <t>Total records:</t>
  </si>
  <si>
    <t>Total columns:</t>
  </si>
  <si>
    <t>Blank (Missing) Values identified :</t>
  </si>
  <si>
    <t>None</t>
  </si>
  <si>
    <t>Duplicate records identified :</t>
  </si>
  <si>
    <t>Formatting issues:</t>
  </si>
  <si>
    <t>Not observed</t>
  </si>
  <si>
    <t>Other observations:</t>
  </si>
  <si>
    <t>OBSERVATIONS  :</t>
  </si>
  <si>
    <r>
      <t xml:space="preserve">After receiving the 1st batch of raw data set released by the client; </t>
    </r>
    <r>
      <rPr>
        <b/>
        <sz val="12"/>
        <color theme="1"/>
        <rFont val="Aptos Narrow"/>
        <family val="2"/>
        <scheme val="minor"/>
      </rPr>
      <t xml:space="preserve">BrightWave Customer Services Ltd., </t>
    </r>
    <r>
      <rPr>
        <sz val="12"/>
        <color theme="1"/>
        <rFont val="Aptos Narrow"/>
        <family val="2"/>
        <scheme val="minor"/>
      </rPr>
      <t xml:space="preserve">transferred that data to the pre-arranged workbook with professional outlook. Then  visual inspection was carried out to idenfify blank cells (missing Nos.), duplicate records and inconsistant formatting or any other Data Quality concerns.  In the above raw data set obvious inconsistencies were not observed. Data types are appropriate (dates, numbers and texts). </t>
    </r>
  </si>
  <si>
    <r>
      <t xml:space="preserve">EARLY BUSINESS OBSERVATIONS </t>
    </r>
    <r>
      <rPr>
        <b/>
        <i/>
        <sz val="12"/>
        <color theme="1"/>
        <rFont val="Aptos Narrow"/>
        <family val="2"/>
        <scheme val="minor"/>
      </rPr>
      <t>(Areas to investigate further)</t>
    </r>
  </si>
  <si>
    <t xml:space="preserve">At this early stage of visual observation, it could be noticed that many "High" Priority complaints have been handled with "longer Resolution days" and most of such cases are presently at "Open or Pending state" resulting lower customer satisfaction. </t>
  </si>
  <si>
    <r>
      <t xml:space="preserve">BUSINESS READINESS </t>
    </r>
    <r>
      <rPr>
        <b/>
        <i/>
        <sz val="12"/>
        <color theme="1"/>
        <rFont val="Aptos Narrow"/>
        <family val="2"/>
        <scheme val="minor"/>
      </rPr>
      <t>(Data Cleaning &amp; Validation)</t>
    </r>
  </si>
  <si>
    <t>Phase - 2</t>
  </si>
  <si>
    <t>Data Cleaning &amp; Validation</t>
  </si>
  <si>
    <r>
      <t xml:space="preserve">The datasets appear suitable for analysis. No significant data quality issues were identified during the preliminary assessment. </t>
    </r>
    <r>
      <rPr>
        <b/>
        <sz val="12"/>
        <color theme="1"/>
        <rFont val="Aptos Narrow"/>
        <family val="2"/>
        <scheme val="minor"/>
      </rPr>
      <t>The data is considered ready to proceed to the Data Cleaning &amp; Validation phase.</t>
    </r>
  </si>
  <si>
    <r>
      <t>Considering the above outcome of the Data Quality Assessment,</t>
    </r>
    <r>
      <rPr>
        <b/>
        <sz val="12"/>
        <color theme="1"/>
        <rFont val="Aptos Narrow"/>
        <family val="2"/>
        <scheme val="minor"/>
      </rPr>
      <t xml:space="preserve"> no critical data quality issues were identified within the current batch of data, that would materially affect the planned analysis to proceed.</t>
    </r>
  </si>
  <si>
    <t>C0016</t>
  </si>
  <si>
    <t>C0017</t>
  </si>
  <si>
    <t>C0018</t>
  </si>
  <si>
    <t>C0019</t>
  </si>
  <si>
    <t>C0020</t>
  </si>
  <si>
    <t>C0021</t>
  </si>
  <si>
    <t>C0022</t>
  </si>
  <si>
    <t>C0023</t>
  </si>
  <si>
    <t>C0024</t>
  </si>
  <si>
    <t>C0025</t>
  </si>
  <si>
    <t>Billing Support</t>
  </si>
  <si>
    <t>A. Perera</t>
  </si>
  <si>
    <t>Customer Service</t>
  </si>
  <si>
    <t>National</t>
  </si>
  <si>
    <t>N. Silva</t>
  </si>
  <si>
    <t>Technical Services</t>
  </si>
  <si>
    <t>Delivery Support</t>
  </si>
  <si>
    <t>S. Fernando</t>
  </si>
  <si>
    <t>Logistics</t>
  </si>
  <si>
    <t>Service Recovery</t>
  </si>
  <si>
    <t>D. Jayasinghe</t>
  </si>
  <si>
    <t>Customer Relations</t>
  </si>
  <si>
    <t>R. Gunawardena</t>
  </si>
  <si>
    <t>Quality Assurance</t>
  </si>
  <si>
    <t>Phase - 3</t>
  </si>
  <si>
    <t>Step - 1</t>
  </si>
  <si>
    <t>Step - 2</t>
  </si>
  <si>
    <r>
      <t>Performing</t>
    </r>
    <r>
      <rPr>
        <b/>
        <sz val="12"/>
        <color theme="1"/>
        <rFont val="Aptos Narrow"/>
        <family val="2"/>
        <scheme val="minor"/>
      </rPr>
      <t xml:space="preserve"> Exploratory Data Analysis (EDA).</t>
    </r>
  </si>
  <si>
    <r>
      <t>Observations of EDA will be recorded in a separate worksheet named</t>
    </r>
    <r>
      <rPr>
        <b/>
        <sz val="12"/>
        <color theme="1"/>
        <rFont val="Aptos Narrow"/>
        <family val="2"/>
        <scheme val="minor"/>
      </rPr>
      <t xml:space="preserve"> EDA Observations.</t>
    </r>
  </si>
  <si>
    <t>Observation</t>
  </si>
  <si>
    <t>Evidence</t>
  </si>
  <si>
    <t>Possibe Business Implication</t>
  </si>
  <si>
    <t>The balance data set of 10 Customer Complaints records were added correctly, making the total number of Customer Complaint records as 25.</t>
  </si>
  <si>
    <t>EXPLORATORY DATA ANALYSIS (EDA)</t>
  </si>
  <si>
    <t>Earned the second-Highest Satisfaction Score of 4.</t>
  </si>
  <si>
    <t>Moderate Resolution lead-time is between 6 - 7 days for equel No. of Medium and High priority complaints.</t>
  </si>
  <si>
    <t>Earned the Moderate Satisfaction Score of 3.</t>
  </si>
  <si>
    <t>Good Resolution lead-time is between 3 - 5 days for all "Medium" priority complaints.</t>
  </si>
  <si>
    <t>Earned the Lowest Satisfaction Score of 1.</t>
  </si>
  <si>
    <t>Poor Resolution lead-time (Highest Lead-time) is between 12 - 14 days for all "High" priority complaints.</t>
  </si>
  <si>
    <t>Resolution days (Lead-time) gradually change from the Lowest lead-time to the Highest Lead-time.</t>
  </si>
  <si>
    <t>Delivery Support team (T03) performed competently in Low and Medium priority levels of Retail and Corporate segments but weakly performed in High priority Government segment complaints.</t>
  </si>
  <si>
    <t>Earned Scores of 5 and 4 for Low and Medium priority levels, but rated 3 and 2 for High Priority complaints.</t>
  </si>
  <si>
    <t>Below-Moderate Resolution lead-time is between 8 - 13 days for all "High" priority complaints.</t>
  </si>
  <si>
    <t>Earned the Below-Moderate Satisfaction Score of 2.</t>
  </si>
  <si>
    <t>Product Quality team (T05) performed Moderate and Below Moderate levels in High and Medium Priorities at Corporate and Retail segments.</t>
  </si>
  <si>
    <t>Service Recovery team (T04) on service delays; perform Below Moderate level in High priority Retail, Government and Corporate segment complaints, but rated good for Medium priority Retail segmant complaint.</t>
  </si>
  <si>
    <t>S/No.</t>
  </si>
  <si>
    <t>"Best Resolution days" (Lowest lead-time) is between 1 - 3 days  for a  majority of "Low" priority complaints.</t>
  </si>
  <si>
    <t>Earned the Highest Satisfaction Score of "5".</t>
  </si>
  <si>
    <t>Support Teams are competent in handling  the "Medium" priority complaints meeting "Good" satisfaction of customers.</t>
  </si>
  <si>
    <t>Support Teams are competent in handling most of the "Low" priority complaints meeting "Highest" satisfaction of customers.</t>
  </si>
  <si>
    <t>Some Support Teams performed below the expectations of customers when handling "High" priority complaints.</t>
  </si>
  <si>
    <t xml:space="preserve">Some Support Teams could manage meeting with "Moderate"satisfaction of customers when handling some "High" and "Medium" priority complaints. </t>
  </si>
  <si>
    <t>One Support Team (Technical Support - T02) demonstrated the poorest performance when handling "High" priority customer complaints of technical issues.</t>
  </si>
  <si>
    <t>From Highest Satisfaction to Lowest Satisfaction (from 5  to 1) the "Resolution Status" gradually changed from "Close" then to "Pending" and finally to "Open".</t>
  </si>
  <si>
    <t>Earned Highest Satisfactory Score of 5 in all cases involved, except in 1 case with a score of 4.</t>
  </si>
  <si>
    <t>Billing Support Team (T01) from Customer Services Department seems to be operating with adequate staff strengh and experience, backed by their competency towards enhancing customer satisfation.</t>
  </si>
  <si>
    <t>Earned Satisfaction scores of 2 for low performance and 4 for good performance respectively.</t>
  </si>
  <si>
    <t>Earned Satisfaction scores of 3 for Moderate and 2 for Below Moderate performance respectively.</t>
  </si>
  <si>
    <t>Earned Satisfactory scores of "1 and 2" for cases with poor performance, and gained scores 4 and 5 respectively for better performance situations.</t>
  </si>
  <si>
    <t>Techincal Suppot team (T02) performed unsatisfactorily (poor) in "High" priority complaints from Government sector. However they have performed well in "Medium and Low" priority cases from Government and Retail segments.</t>
  </si>
  <si>
    <t>No specific pattern  was identified based on  the "Region" if it is making impact on the Satisfacory Score.</t>
  </si>
  <si>
    <t>No specific pattern  was identified based on  the "Customer Segment", if it is making impact on the Satisfacory Score.</t>
  </si>
  <si>
    <t>NA</t>
  </si>
  <si>
    <t>Billing Support team (T01) performed well in all Priority levels (High, Medium and Low) representing Retail Segment. Based on the current dataset, Billing Support Team (T01) appears to demonstrate consistently strong performance.</t>
  </si>
  <si>
    <t>Technical Support team (T02) from Technical Services Department seems to be operating  with an average staff strength with a moderate experience level, and recorded the "lowest satisfaction scores" due to their "longest Lead-times" (still pending /open) on "High priority" technical concerns. This suggests that further investigation into the causes of prolonged resolution times may be warranted.</t>
  </si>
  <si>
    <t>Delivery Support team (T03) from Logistics Department seems to be operating with the highest staff strengh and with acceptable level of experience. The factors contributing to their low performance towards High priority complaints may need futher attention.</t>
  </si>
  <si>
    <t>Product Quality team (T05) from Quality Assurance Department seems to be operating with an average staff strength but with comparatively high experience level.  The contributory factors for average /low performance levels towards High and Moderate priority complaints may need further monitoring.</t>
  </si>
  <si>
    <t>Service Recovery team (T04) from Customer Relations Department seems to be operating with comparatively lowest staff strength and the lowest experience level.  The factors contributing to low performance towards High priority complaints may need further investigation.</t>
  </si>
  <si>
    <t>Phase - 4</t>
  </si>
  <si>
    <t>Which KPIs will help senior management make informed decisions?</t>
  </si>
  <si>
    <t>KPI Development</t>
  </si>
  <si>
    <t>a.</t>
  </si>
  <si>
    <t>b.</t>
  </si>
  <si>
    <t>c.</t>
  </si>
  <si>
    <t xml:space="preserve"> Which performance indicators best represent the client's business?</t>
  </si>
  <si>
    <t xml:space="preserve"> Which metrics should appear on the management dashboard?</t>
  </si>
  <si>
    <t>d.</t>
  </si>
  <si>
    <t>e.</t>
  </si>
  <si>
    <t>f.</t>
  </si>
  <si>
    <r>
      <rPr>
        <b/>
        <sz val="14"/>
        <color theme="1"/>
        <rFont val="Aptos Narrow"/>
        <family val="2"/>
        <scheme val="minor"/>
      </rPr>
      <t xml:space="preserve">Total Complaints  </t>
    </r>
    <r>
      <rPr>
        <sz val="14"/>
        <color theme="1"/>
        <rFont val="Aptos Narrow"/>
        <family val="2"/>
        <scheme val="minor"/>
      </rPr>
      <t>(problem volume)</t>
    </r>
  </si>
  <si>
    <r>
      <rPr>
        <b/>
        <sz val="14"/>
        <color theme="1"/>
        <rFont val="Aptos Narrow"/>
        <family val="2"/>
        <scheme val="minor"/>
      </rPr>
      <t xml:space="preserve">Average Resolution Days </t>
    </r>
    <r>
      <rPr>
        <sz val="14"/>
        <color theme="1"/>
        <rFont val="Aptos Narrow"/>
        <family val="2"/>
        <scheme val="minor"/>
      </rPr>
      <t xml:space="preserve"> (service efficiency)</t>
    </r>
  </si>
  <si>
    <r>
      <rPr>
        <b/>
        <sz val="14"/>
        <color theme="1"/>
        <rFont val="Aptos Narrow"/>
        <family val="2"/>
        <scheme val="minor"/>
      </rPr>
      <t>Average Customer Satisfaction Score</t>
    </r>
    <r>
      <rPr>
        <sz val="14"/>
        <color theme="1"/>
        <rFont val="Aptos Narrow"/>
        <family val="2"/>
        <scheme val="minor"/>
      </rPr>
      <t xml:space="preserve">  (customer experience)</t>
    </r>
  </si>
  <si>
    <r>
      <rPr>
        <b/>
        <sz val="14"/>
        <color theme="1"/>
        <rFont val="Aptos Narrow"/>
        <family val="2"/>
        <scheme val="minor"/>
      </rPr>
      <t xml:space="preserve">Open vs Closed vs Pending Complaints  </t>
    </r>
    <r>
      <rPr>
        <sz val="14"/>
        <color theme="1"/>
        <rFont val="Aptos Narrow"/>
        <family val="2"/>
        <scheme val="minor"/>
      </rPr>
      <t>(operational backlog)</t>
    </r>
  </si>
  <si>
    <r>
      <rPr>
        <b/>
        <sz val="14"/>
        <color theme="1"/>
        <rFont val="Aptos Narrow"/>
        <family val="2"/>
        <scheme val="minor"/>
      </rPr>
      <t xml:space="preserve">Complaints by Category </t>
    </r>
    <r>
      <rPr>
        <sz val="14"/>
        <color theme="1"/>
        <rFont val="Aptos Narrow"/>
        <family val="2"/>
        <scheme val="minor"/>
      </rPr>
      <t xml:space="preserve"> (where problems occur most frequently)</t>
    </r>
  </si>
  <si>
    <r>
      <rPr>
        <b/>
        <sz val="14"/>
        <color theme="1"/>
        <rFont val="Aptos Narrow"/>
        <family val="2"/>
        <scheme val="minor"/>
      </rPr>
      <t xml:space="preserve">High Priority Complaints Requiring Attention </t>
    </r>
    <r>
      <rPr>
        <sz val="14"/>
        <color theme="1"/>
        <rFont val="Aptos Narrow"/>
        <family val="2"/>
        <scheme val="minor"/>
      </rPr>
      <t xml:space="preserve"> (responsiveness to critical issues)</t>
    </r>
  </si>
  <si>
    <t>Row Labels</t>
  </si>
  <si>
    <t>Grand Total</t>
  </si>
  <si>
    <t>Count of Complaint Category</t>
  </si>
  <si>
    <t>Count of Resolution Status</t>
  </si>
  <si>
    <t>Column Labels</t>
  </si>
  <si>
    <r>
      <rPr>
        <b/>
        <sz val="12"/>
        <color theme="1"/>
        <rFont val="Aptos Narrow"/>
        <family val="2"/>
        <scheme val="minor"/>
      </rPr>
      <t xml:space="preserve">Note : </t>
    </r>
    <r>
      <rPr>
        <sz val="12"/>
        <color theme="1"/>
        <rFont val="Aptos Narrow"/>
        <family val="2"/>
        <scheme val="minor"/>
      </rPr>
      <t xml:space="preserve"> As each Complaint Category is managed by a designated Support Team in this dataset, trends observed by Complaint Category may also provide insight into the performance of the corresponding Support Team.</t>
    </r>
  </si>
  <si>
    <t>Phase - 5</t>
  </si>
  <si>
    <t>Executive Dashboard</t>
  </si>
  <si>
    <t>Total Complaints</t>
  </si>
  <si>
    <t>Average Resolution Days</t>
  </si>
  <si>
    <t>Average Customer Satisfaction Score</t>
  </si>
  <si>
    <t>Open Complaints</t>
  </si>
  <si>
    <t>Pending Complaints</t>
  </si>
  <si>
    <t>Closed Complaints</t>
  </si>
  <si>
    <t>📌</t>
  </si>
  <si>
    <t>Average of Satisfaction Score</t>
  </si>
  <si>
    <t>Management Insights</t>
  </si>
  <si>
    <t>It was observed that "Resolution days" (Lead-time) has correlation with the "Resolution Status".  ie. When Lead-time is increasing  the Resolution Status is gradually shifting from "Close" towards "Pending and "Open". The circumstances pertaining to this situation need to be further analysed.</t>
  </si>
  <si>
    <t xml:space="preserve">It was observed that "Resolution days" (Lead-time) has correlation with the "Resolution Status".  ie. When Lead-time is increasing  the Resolution Status is gradually shifting from "Close" towards "Pending and "Open". </t>
  </si>
  <si>
    <r>
      <t>Technical Support team (T02) from Technical Services Department seems to be operating  with an average staff strength with a moderate experience level, and recorded the "</t>
    </r>
    <r>
      <rPr>
        <b/>
        <sz val="12"/>
        <color theme="1"/>
        <rFont val="Aptos Narrow"/>
        <family val="2"/>
        <scheme val="minor"/>
      </rPr>
      <t xml:space="preserve">lowest </t>
    </r>
    <r>
      <rPr>
        <sz val="12"/>
        <color theme="1"/>
        <rFont val="Aptos Narrow"/>
        <family val="2"/>
        <scheme val="minor"/>
      </rPr>
      <t>satisfaction scores" due to their "longest Lead-times" (still pending /open) on "</t>
    </r>
    <r>
      <rPr>
        <b/>
        <sz val="12"/>
        <color theme="1"/>
        <rFont val="Aptos Narrow"/>
        <family val="2"/>
        <scheme val="minor"/>
      </rPr>
      <t>High priority</t>
    </r>
    <r>
      <rPr>
        <sz val="12"/>
        <color theme="1"/>
        <rFont val="Aptos Narrow"/>
        <family val="2"/>
        <scheme val="minor"/>
      </rPr>
      <t>" technical concerns. This suggests that further investigation into the causes of prolonged resolution times may be warranted.</t>
    </r>
  </si>
  <si>
    <t>Further, longer resolution times were observed on "High priority" complaints by Delivery Support (T03), Product Quality (T0 5) and Service Recovery (T0 4) teams which resulted lower satisfaction scores. As there may be various factors contributing to this situation, it could be suggested to further investigate.</t>
  </si>
  <si>
    <t>Phase - 6</t>
  </si>
  <si>
    <t>Management Report &amp; Recommendations</t>
  </si>
  <si>
    <t>Executive Summary</t>
  </si>
  <si>
    <t>Key Findings</t>
  </si>
  <si>
    <t>Management Recommendations</t>
  </si>
  <si>
    <t>Business Value</t>
  </si>
  <si>
    <t>Client</t>
  </si>
  <si>
    <t>BrightWave Customer Services Ltd.</t>
  </si>
  <si>
    <t>Project Title</t>
  </si>
  <si>
    <t>Customer Complaint &amp; Service Performance Analysis</t>
  </si>
  <si>
    <t>Business Objective</t>
  </si>
  <si>
    <t>Analyse customer complaint records and support team performance to identify operational risks and recommend business improvements.</t>
  </si>
  <si>
    <r>
      <t>Reporting Period:</t>
    </r>
    <r>
      <rPr>
        <sz val="9"/>
        <color theme="1"/>
        <rFont val="Aptos Narrow"/>
        <family val="2"/>
        <scheme val="minor"/>
      </rPr>
      <t xml:space="preserve"> January 2026 (Sample Client Dataset)</t>
    </r>
  </si>
  <si>
    <t>Technical Support team (T02) from Technical Services Department (seems to be operating  with an average staff strength with a moderate experience level), recorded the "lowest satisfaction scores" due to their "longest Lead-times" (with pending /open status) on "High priority" technical concerns. This suggests that further investigation into the causes of prolonged resolution times may be warranted.</t>
  </si>
  <si>
    <t>Based on the current Data set; Delivery Support (T03), Product Quality (T05) and  Service Recovery (T04) teams demonstrated lower customer satisfaction when handling "High" priority complaints.</t>
  </si>
  <si>
    <t>Prioritise High-priority complaints that remain Open or Pending.</t>
  </si>
  <si>
    <r>
      <t xml:space="preserve">Prioritise </t>
    </r>
    <r>
      <rPr>
        <u/>
        <sz val="12"/>
        <color theme="1"/>
        <rFont val="Aptos Narrow"/>
        <family val="2"/>
        <scheme val="minor"/>
      </rPr>
      <t>reviewing of processes</t>
    </r>
    <r>
      <rPr>
        <sz val="12"/>
        <color theme="1"/>
        <rFont val="Aptos Narrow"/>
        <family val="2"/>
        <scheme val="minor"/>
      </rPr>
      <t xml:space="preserve"> within support teams handling Technical support and Service delays. Subsequently, Delivery Support and Product Quality teams also need to be considered.</t>
    </r>
  </si>
  <si>
    <r>
      <t xml:space="preserve">Continue tracking </t>
    </r>
    <r>
      <rPr>
        <u/>
        <sz val="12"/>
        <color theme="1"/>
        <rFont val="Aptos Narrow"/>
        <family val="2"/>
        <scheme val="minor"/>
      </rPr>
      <t>complaint trends</t>
    </r>
    <r>
      <rPr>
        <sz val="12"/>
        <color theme="1"/>
        <rFont val="Aptos Narrow"/>
        <family val="2"/>
        <scheme val="minor"/>
      </rPr>
      <t xml:space="preserve"> using the Dashboard.</t>
    </r>
  </si>
  <si>
    <t>Reduce 'resolution times' for complaint categories with low satisfaction.</t>
  </si>
  <si>
    <t xml:space="preserve">Improve customer satisfaction due to reduced resolution times for complaint categories which had low satisfaction. </t>
  </si>
  <si>
    <r>
      <t xml:space="preserve">Monitor 'customer satisfaction' as a </t>
    </r>
    <r>
      <rPr>
        <u/>
        <sz val="12"/>
        <color theme="1"/>
        <rFont val="Aptos Narrow"/>
        <family val="2"/>
        <scheme val="minor"/>
      </rPr>
      <t>Key Service Performance Indicator (KSPI)</t>
    </r>
    <r>
      <rPr>
        <sz val="12"/>
        <color theme="1"/>
        <rFont val="Aptos Narrow"/>
        <family val="2"/>
        <scheme val="minor"/>
      </rPr>
      <t>.</t>
    </r>
  </si>
  <si>
    <t>Expedite closing of High-priority complaints that remain Open and Pending to ease customer distress.</t>
  </si>
  <si>
    <t xml:space="preserve">Support identifying root causes and inefficiencies within the processes of Technical, Service and other support teams, to address the issues and better streamline the processes. </t>
  </si>
  <si>
    <t>Enhance visibility across business operations facilitating timely action.</t>
  </si>
  <si>
    <t xml:space="preserve">Implementing the above recommendations would; </t>
  </si>
  <si>
    <t>Most support teams experienced lower customer satisfaction when handling High Priority complaints.</t>
  </si>
  <si>
    <t>Based on the current dataset, support teams generally demonstrated strong performance when handling Low and Medium Priority complaints.</t>
  </si>
  <si>
    <t>It was observed that Resolution days (Lead-time) appears to be associated with the "Resolution Status".  ie. When Lead-time is increasing  the Resolution Status is gradually shifting from "Close" towards "Pending and "Open"; gradually decreasing customer satisfaction.</t>
  </si>
  <si>
    <t>Strengthen performance of Support Teams that could be monitored against Customer Satisfaction as the KSPI; which could be linked with team's future recognition and rewards to strengthen commitment.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</si>
</sst>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b/>
      <sz val="12"/>
      <name val="Aptos Narrow"/>
      <family val="2"/>
      <scheme val="minor"/>
    </font>
    <font>
      <sz val="12"/>
      <color theme="1"/>
      <name val="Aptos Narrow"/>
      <family val="2"/>
      <scheme val="minor"/>
    </font>
    <font>
      <b/>
      <i/>
      <sz val="12"/>
      <color theme="1"/>
      <name val="Aptos Narrow"/>
      <family val="2"/>
      <scheme val="minor"/>
    </font>
    <font>
      <b/>
      <sz val="20"/>
      <color theme="1"/>
      <name val="Aptos Narrow"/>
      <family val="2"/>
      <scheme val="minor"/>
    </font>
    <font>
      <sz val="14"/>
      <color theme="1"/>
      <name val="Aptos Narrow"/>
      <family val="2"/>
      <scheme val="minor"/>
    </font>
    <font>
      <sz val="10"/>
      <color theme="1"/>
      <name val="Aptos Narrow"/>
      <family val="2"/>
      <scheme val="minor"/>
    </font>
    <font>
      <sz val="16"/>
      <color theme="1"/>
      <name val="Aptos Narrow"/>
      <family val="2"/>
      <scheme val="minor"/>
    </font>
    <font>
      <b/>
      <sz val="16"/>
      <color theme="1"/>
      <name val="Aptos Narrow"/>
      <family val="2"/>
      <scheme val="minor"/>
    </font>
    <font>
      <b/>
      <sz val="9"/>
      <color theme="1"/>
      <name val="Aptos Narrow"/>
      <family val="2"/>
      <scheme val="minor"/>
    </font>
    <font>
      <sz val="9"/>
      <color theme="1"/>
      <name val="Aptos Narrow"/>
      <family val="2"/>
      <scheme val="minor"/>
    </font>
    <font>
      <u/>
      <sz val="12"/>
      <color theme="1"/>
      <name val="Aptos Narrow"/>
      <family val="2"/>
      <scheme val="minor"/>
    </font>
  </fonts>
  <fills count="9">
    <fill>
      <patternFill patternType="none"/>
    </fill>
    <fill>
      <patternFill patternType="gray125"/>
    </fill>
    <fill>
      <patternFill patternType="solid">
        <fgColor rgb="FFFFC000"/>
        <bgColor indexed="64"/>
      </patternFill>
    </fill>
    <fill>
      <patternFill patternType="solid">
        <fgColor rgb="FFFFFF99"/>
        <bgColor indexed="64"/>
      </patternFill>
    </fill>
    <fill>
      <patternFill patternType="solid">
        <fgColor rgb="FFFFFF0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29">
    <xf numFmtId="0" fontId="0" fillId="0" borderId="0" xfId="0"/>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1" xfId="0" applyBorder="1" applyAlignment="1">
      <alignment horizontal="center" vertical="center" wrapText="1"/>
    </xf>
    <xf numFmtId="15" fontId="0" fillId="0" borderId="1" xfId="0" applyNumberFormat="1" applyBorder="1" applyAlignment="1">
      <alignment horizontal="center" vertical="center" wrapText="1"/>
    </xf>
    <xf numFmtId="0" fontId="1" fillId="2" borderId="0" xfId="0" applyFont="1" applyFill="1" applyAlignment="1">
      <alignment horizontal="center" vertical="center"/>
    </xf>
    <xf numFmtId="0" fontId="3" fillId="3" borderId="6" xfId="0" applyFont="1" applyFill="1" applyBorder="1"/>
    <xf numFmtId="0" fontId="3" fillId="3" borderId="13" xfId="0" applyFont="1" applyFill="1" applyBorder="1"/>
    <xf numFmtId="0" fontId="3" fillId="3" borderId="3" xfId="0" applyFont="1" applyFill="1" applyBorder="1"/>
    <xf numFmtId="0" fontId="3" fillId="3" borderId="14" xfId="0" applyFont="1" applyFill="1" applyBorder="1"/>
    <xf numFmtId="0" fontId="1" fillId="0" borderId="0" xfId="0" applyFont="1"/>
    <xf numFmtId="0" fontId="5" fillId="0" borderId="0" xfId="0" applyFont="1" applyAlignment="1">
      <alignment vertical="center" wrapText="1"/>
    </xf>
    <xf numFmtId="0" fontId="0" fillId="0" borderId="8" xfId="0" applyBorder="1" applyAlignment="1">
      <alignment horizontal="center" vertical="center" wrapText="1"/>
    </xf>
    <xf numFmtId="15" fontId="0" fillId="0" borderId="8" xfId="0" applyNumberFormat="1" applyBorder="1" applyAlignment="1">
      <alignment horizontal="center" vertical="center" wrapText="1"/>
    </xf>
    <xf numFmtId="0" fontId="0" fillId="0" borderId="0" xfId="0" applyAlignment="1">
      <alignment horizontal="center" vertical="center" wrapText="1"/>
    </xf>
    <xf numFmtId="15" fontId="0" fillId="0" borderId="0" xfId="0" applyNumberFormat="1" applyAlignment="1">
      <alignment horizontal="center" vertical="center" wrapText="1"/>
    </xf>
    <xf numFmtId="0" fontId="0" fillId="0" borderId="0" xfId="0"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5" fillId="0" borderId="0" xfId="0" applyFont="1"/>
    <xf numFmtId="0" fontId="3" fillId="2" borderId="0" xfId="0" applyFont="1" applyFill="1" applyAlignment="1">
      <alignment horizontal="center" vertical="center"/>
    </xf>
    <xf numFmtId="0" fontId="3" fillId="4" borderId="0" xfId="0" applyFont="1" applyFill="1"/>
    <xf numFmtId="0" fontId="5" fillId="0" borderId="1" xfId="0" applyFont="1" applyBorder="1" applyAlignment="1">
      <alignment horizontal="left" vertical="center" wrapText="1"/>
    </xf>
    <xf numFmtId="0" fontId="3" fillId="3" borderId="3" xfId="0" applyFont="1" applyFill="1" applyBorder="1" applyAlignment="1">
      <alignment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5" fillId="0" borderId="1" xfId="0" applyFont="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5" fillId="0" borderId="0" xfId="0" applyFont="1" applyAlignment="1">
      <alignment horizontal="left"/>
    </xf>
    <xf numFmtId="0" fontId="5" fillId="0" borderId="0" xfId="0" applyFont="1" applyAlignment="1">
      <alignment horizontal="right" vertical="center"/>
    </xf>
    <xf numFmtId="0" fontId="5" fillId="0" borderId="0" xfId="0" applyFont="1" applyAlignment="1">
      <alignment horizontal="left" vertical="center"/>
    </xf>
    <xf numFmtId="0" fontId="8" fillId="0" borderId="0" xfId="0" applyFont="1" applyAlignment="1">
      <alignment horizontal="right" vertical="center"/>
    </xf>
    <xf numFmtId="0" fontId="8" fillId="0" borderId="0" xfId="0" applyFont="1"/>
    <xf numFmtId="0" fontId="5" fillId="0" borderId="1" xfId="0" pivotButton="1" applyFont="1" applyBorder="1"/>
    <xf numFmtId="0" fontId="5" fillId="0" borderId="1" xfId="0" applyFont="1" applyBorder="1"/>
    <xf numFmtId="0" fontId="5" fillId="0" borderId="1" xfId="0" applyFont="1" applyBorder="1" applyAlignment="1">
      <alignment horizontal="left"/>
    </xf>
    <xf numFmtId="0" fontId="5" fillId="0" borderId="1" xfId="0" applyFont="1" applyBorder="1" applyAlignment="1">
      <alignment horizontal="center"/>
    </xf>
    <xf numFmtId="0" fontId="5" fillId="4" borderId="1" xfId="0" applyFont="1" applyFill="1" applyBorder="1" applyAlignment="1">
      <alignment horizontal="left"/>
    </xf>
    <xf numFmtId="0" fontId="5" fillId="4" borderId="1" xfId="0" applyFont="1"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pivotButton="1"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left"/>
    </xf>
    <xf numFmtId="0" fontId="0" fillId="2" borderId="1" xfId="0" applyFill="1" applyBorder="1" applyAlignment="1">
      <alignment horizontal="center" vertical="center"/>
    </xf>
    <xf numFmtId="0" fontId="0" fillId="6" borderId="1" xfId="0" applyFill="1" applyBorder="1" applyAlignment="1">
      <alignment horizontal="left"/>
    </xf>
    <xf numFmtId="0" fontId="0" fillId="6" borderId="1" xfId="0" applyFill="1" applyBorder="1" applyAlignment="1">
      <alignment horizontal="center" vertical="center"/>
    </xf>
    <xf numFmtId="0" fontId="0" fillId="3" borderId="1" xfId="0" applyFill="1" applyBorder="1" applyAlignment="1">
      <alignment horizontal="left"/>
    </xf>
    <xf numFmtId="0" fontId="0" fillId="3" borderId="1" xfId="0" applyFill="1" applyBorder="1" applyAlignment="1">
      <alignment horizontal="center" vertical="center"/>
    </xf>
    <xf numFmtId="0" fontId="7" fillId="5" borderId="0" xfId="0" applyFont="1" applyFill="1" applyAlignment="1">
      <alignment horizontal="center" vertical="center"/>
    </xf>
    <xf numFmtId="0" fontId="5" fillId="3" borderId="1" xfId="0" applyFont="1" applyFill="1" applyBorder="1" applyAlignment="1">
      <alignment horizontal="left"/>
    </xf>
    <xf numFmtId="0" fontId="5" fillId="3" borderId="1" xfId="0" applyFont="1" applyFill="1" applyBorder="1" applyAlignment="1">
      <alignment horizontal="center"/>
    </xf>
    <xf numFmtId="0" fontId="0" fillId="0" borderId="0" xfId="0" applyAlignment="1">
      <alignment vertical="center"/>
    </xf>
    <xf numFmtId="2" fontId="0" fillId="0" borderId="1" xfId="0" applyNumberFormat="1" applyBorder="1"/>
    <xf numFmtId="0" fontId="5" fillId="7" borderId="0" xfId="0" applyFont="1" applyFill="1"/>
    <xf numFmtId="0" fontId="5" fillId="7" borderId="0" xfId="0" applyFont="1" applyFill="1" applyAlignment="1">
      <alignment vertical="center" wrapText="1"/>
    </xf>
    <xf numFmtId="0" fontId="9" fillId="7" borderId="0" xfId="0" applyFont="1" applyFill="1" applyAlignment="1">
      <alignment horizontal="right"/>
    </xf>
    <xf numFmtId="0" fontId="11" fillId="7" borderId="13" xfId="0" applyFont="1" applyFill="1" applyBorder="1"/>
    <xf numFmtId="0" fontId="11" fillId="7" borderId="14" xfId="0" applyFont="1" applyFill="1" applyBorder="1"/>
    <xf numFmtId="0" fontId="3" fillId="0" borderId="0" xfId="0" applyFont="1" applyAlignment="1">
      <alignment horizontal="center" vertical="center"/>
    </xf>
    <xf numFmtId="0" fontId="12" fillId="0" borderId="0" xfId="0" applyFont="1" applyAlignment="1">
      <alignment horizontal="center" vertical="center"/>
    </xf>
    <xf numFmtId="0" fontId="8" fillId="7" borderId="0" xfId="0" applyFont="1" applyFill="1"/>
    <xf numFmtId="0" fontId="3" fillId="0" borderId="0" xfId="0" applyFont="1" applyAlignment="1">
      <alignment vertical="center"/>
    </xf>
    <xf numFmtId="0" fontId="3" fillId="0" borderId="0" xfId="0" applyFont="1"/>
    <xf numFmtId="0" fontId="5" fillId="0" borderId="0" xfId="0" applyFont="1" applyAlignment="1">
      <alignment horizontal="left" vertical="center" indent="1"/>
    </xf>
    <xf numFmtId="0" fontId="11" fillId="0" borderId="0" xfId="0" applyFont="1" applyAlignment="1">
      <alignment vertical="center"/>
    </xf>
    <xf numFmtId="0" fontId="5" fillId="0" borderId="0" xfId="0" applyFont="1" applyAlignment="1">
      <alignment vertical="center"/>
    </xf>
    <xf numFmtId="0" fontId="5" fillId="0" borderId="0" xfId="0" applyFont="1" applyAlignment="1">
      <alignment horizontal="left" vertical="center" wrapText="1"/>
    </xf>
    <xf numFmtId="0" fontId="13" fillId="0" borderId="0" xfId="0" applyFont="1" applyAlignment="1">
      <alignment horizontal="right"/>
    </xf>
    <xf numFmtId="0" fontId="5" fillId="0" borderId="0" xfId="0" applyFont="1" applyAlignment="1">
      <alignment horizontal="left" wrapText="1"/>
    </xf>
    <xf numFmtId="0" fontId="3"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14" xfId="0" applyFont="1" applyFill="1" applyBorder="1" applyAlignment="1">
      <alignment horizontal="left" vertical="center"/>
    </xf>
    <xf numFmtId="0" fontId="3" fillId="2" borderId="2" xfId="0" applyFont="1" applyFill="1" applyBorder="1" applyAlignment="1">
      <alignment horizontal="left" vertical="center"/>
    </xf>
    <xf numFmtId="0" fontId="5" fillId="2" borderId="9"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12"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14" xfId="0" applyFont="1" applyFill="1" applyBorder="1" applyAlignment="1">
      <alignment horizontal="left" vertical="center"/>
    </xf>
    <xf numFmtId="0" fontId="4" fillId="3" borderId="2" xfId="0" applyFont="1" applyFill="1" applyBorder="1" applyAlignment="1">
      <alignment horizontal="lef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12"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3" fillId="4" borderId="1" xfId="0" applyFont="1" applyFill="1" applyBorder="1" applyAlignment="1">
      <alignment horizontal="left" vertical="center"/>
    </xf>
    <xf numFmtId="0" fontId="2" fillId="8" borderId="0" xfId="0" applyFont="1" applyFill="1" applyAlignment="1">
      <alignment horizontal="center" vertical="center"/>
    </xf>
    <xf numFmtId="0" fontId="5" fillId="4" borderId="0" xfId="0" applyFont="1" applyFill="1" applyAlignment="1">
      <alignment horizontal="left" wrapText="1"/>
    </xf>
    <xf numFmtId="0" fontId="11" fillId="8" borderId="0" xfId="0" applyFont="1" applyFill="1" applyAlignment="1">
      <alignment horizontal="center" vertical="center"/>
    </xf>
    <xf numFmtId="0" fontId="12" fillId="8" borderId="0" xfId="0" applyFont="1" applyFill="1" applyAlignment="1">
      <alignment horizontal="center" vertical="center"/>
    </xf>
    <xf numFmtId="0" fontId="5" fillId="7" borderId="0" xfId="0" applyFont="1" applyFill="1" applyAlignment="1">
      <alignment horizontal="left" wrapText="1"/>
    </xf>
    <xf numFmtId="0" fontId="5" fillId="7" borderId="0" xfId="0" applyFont="1" applyFill="1" applyAlignment="1">
      <alignment horizontal="left" vertical="center" wrapText="1"/>
    </xf>
    <xf numFmtId="0" fontId="10" fillId="7" borderId="13" xfId="0" applyFont="1" applyFill="1" applyBorder="1" applyAlignment="1">
      <alignment horizontal="left"/>
    </xf>
    <xf numFmtId="0" fontId="10" fillId="7" borderId="14" xfId="0" applyFont="1" applyFill="1" applyBorder="1" applyAlignment="1">
      <alignment horizontal="left"/>
    </xf>
    <xf numFmtId="0" fontId="11" fillId="7" borderId="0" xfId="0" applyFont="1" applyFill="1" applyAlignment="1">
      <alignment horizontal="left"/>
    </xf>
    <xf numFmtId="0" fontId="3" fillId="2" borderId="0" xfId="0" applyFont="1" applyFill="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wrapText="1"/>
    </xf>
    <xf numFmtId="0" fontId="5" fillId="0" borderId="0" xfId="0" applyFont="1" applyAlignment="1">
      <alignment horizontal="left" vertical="center"/>
    </xf>
    <xf numFmtId="0" fontId="5" fillId="0" borderId="0" xfId="0" applyFont="1" applyAlignment="1">
      <alignment horizontal="left"/>
    </xf>
  </cellXfs>
  <cellStyles count="1">
    <cellStyle name="Normal" xfId="0" builtinId="0"/>
  </cellStyles>
  <dxfs count="105">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sz val="12"/>
      </font>
    </dxf>
    <dxf>
      <font>
        <sz val="12"/>
      </font>
    </dxf>
    <dxf>
      <fill>
        <patternFill patternType="solid">
          <bgColor theme="5" tint="0.79998168889431442"/>
        </patternFill>
      </fill>
    </dxf>
    <dxf>
      <fill>
        <patternFill patternType="solid">
          <bgColor theme="5" tint="0.79998168889431442"/>
        </patternFill>
      </fill>
    </dxf>
    <dxf>
      <font>
        <b/>
      </font>
    </dxf>
    <dxf>
      <font>
        <b/>
      </font>
    </dxf>
    <dxf>
      <font>
        <color rgb="FF0000FF"/>
      </font>
    </dxf>
    <dxf>
      <font>
        <color rgb="FF0000FF"/>
      </font>
    </dxf>
    <dxf>
      <font>
        <color rgb="FF0000FF"/>
      </font>
    </dxf>
    <dxf>
      <font>
        <color rgb="FF0000FF"/>
      </font>
    </dxf>
    <dxf>
      <font>
        <b/>
      </font>
    </dxf>
    <dxf>
      <font>
        <b/>
      </font>
    </dxf>
    <dxf>
      <fill>
        <patternFill>
          <bgColor rgb="FFFFFF99"/>
        </patternFill>
      </fill>
    </dxf>
    <dxf>
      <fill>
        <patternFill>
          <bgColor theme="8" tint="0.59999389629810485"/>
        </patternFill>
      </fill>
    </dxf>
    <dxf>
      <fill>
        <patternFill>
          <bgColor theme="8" tint="0.59999389629810485"/>
        </patternFill>
      </fill>
    </dxf>
    <dxf>
      <fill>
        <patternFill patternType="solid">
          <bgColor theme="8" tint="0.39997558519241921"/>
        </patternFill>
      </fill>
    </dxf>
    <dxf>
      <fill>
        <patternFill patternType="solid">
          <bgColor theme="8"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FFC000"/>
        </patternFill>
      </fill>
    </dxf>
    <dxf>
      <fill>
        <patternFill patternType="solid">
          <bgColor rgb="FFFFC000"/>
        </patternFill>
      </fill>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colors>
    <mruColors>
      <color rgb="FF000099"/>
      <color rgb="FFFFFF99"/>
      <color rgb="FF0000FF"/>
      <color rgb="FFFFCC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[Project-004-Customer-Service-Analysis.xlsx]Operational Back-log!PivotTable1</c:name>
    <c:fmtId val="11"/>
  </c:pivotSource>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b="1">
                <a:solidFill>
                  <a:srgbClr val="000099"/>
                </a:solidFill>
              </a:rPr>
              <a:t>Open vs Closed vs Pending Complaints</a:t>
            </a:r>
          </a:p>
          <a:p>
            <a:pPr>
              <a:defRPr>
                <a:solidFill>
                  <a:srgbClr val="000099"/>
                </a:solidFill>
              </a:defRPr>
            </a:pPr>
            <a:r>
              <a:rPr lang="en-US" sz="1200" b="1">
                <a:solidFill>
                  <a:srgbClr val="000099"/>
                </a:solidFill>
              </a:rPr>
              <a:t>(Operational Back-log)</a:t>
            </a:r>
          </a:p>
        </c:rich>
      </c:tx>
      <c:layout>
        <c:manualLayout>
          <c:xMode val="edge"/>
          <c:yMode val="edge"/>
          <c:x val="0.25414750735508912"/>
          <c:y val="8.01271842482087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'Operational Back-log'!$B$3</c:f>
              <c:strCache>
                <c:ptCount val="1"/>
                <c:pt idx="0">
                  <c:v>Total</c:v>
                </c:pt>
              </c:strCache>
            </c:strRef>
          </c:tx>
          <c:spPr>
            <a:solidFill>
              <a:schemeClr val="accent6"/>
            </a:solidFill>
            <a:ln>
              <a:noFill/>
            </a:ln>
            <a:effectLst/>
          </c:spPr>
          <c:invertIfNegative val="0"/>
          <c:cat>
            <c:strRef>
              <c:f>'Operational Back-log'!$A$4:$A$7</c:f>
              <c:strCache>
                <c:ptCount val="3"/>
                <c:pt idx="0">
                  <c:v>Closed</c:v>
                </c:pt>
                <c:pt idx="1">
                  <c:v>Open</c:v>
                </c:pt>
                <c:pt idx="2">
                  <c:v>Pending</c:v>
                </c:pt>
              </c:strCache>
            </c:strRef>
          </c:cat>
          <c:val>
            <c:numRef>
              <c:f>'Operational Back-log'!$B$4:$B$7</c:f>
              <c:numCache>
                <c:formatCode>General</c:formatCode>
                <c:ptCount val="3"/>
                <c:pt idx="0">
                  <c:v>18</c:v>
                </c:pt>
                <c:pt idx="1">
                  <c:v>3</c:v>
                </c:pt>
                <c:pt idx="2">
                  <c:v>4</c:v>
                </c:pt>
              </c:numCache>
            </c:numRef>
          </c:val>
          <c:extLst>
            <c:ext xmlns:c16="http://schemas.microsoft.com/office/drawing/2014/chart" uri="{C3380CC4-5D6E-409C-BE32-E72D297353CC}">
              <c16:uniqueId val="{00000000-87BC-48FA-8724-8FB052994331}"/>
            </c:ext>
          </c:extLst>
        </c:ser>
        <c:dLbls>
          <c:showLegendKey val="0"/>
          <c:showVal val="0"/>
          <c:showCatName val="0"/>
          <c:showSerName val="0"/>
          <c:showPercent val="0"/>
          <c:showBubbleSize val="0"/>
        </c:dLbls>
        <c:gapWidth val="219"/>
        <c:overlap val="-27"/>
        <c:axId val="543206255"/>
        <c:axId val="543203375"/>
      </c:barChart>
      <c:catAx>
        <c:axId val="54320625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3203375"/>
        <c:crosses val="autoZero"/>
        <c:auto val="1"/>
        <c:lblAlgn val="ctr"/>
        <c:lblOffset val="100"/>
        <c:noMultiLvlLbl val="0"/>
      </c:catAx>
      <c:valAx>
        <c:axId val="54320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3206255"/>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[Project-004-Customer-Service-Analysis.xlsx]Complaints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99"/>
                </a:solidFill>
              </a:rPr>
              <a:t>Complaints by Category</a:t>
            </a:r>
          </a:p>
          <a:p>
            <a:pPr>
              <a:defRPr/>
            </a:pPr>
            <a:r>
              <a:rPr lang="en-US" sz="1100" b="1" i="0">
                <a:solidFill>
                  <a:srgbClr val="000099"/>
                </a:solidFill>
              </a:rPr>
              <a:t>Where complaints occur</a:t>
            </a:r>
            <a:r>
              <a:rPr lang="en-US" sz="1100" b="1" i="0" baseline="0">
                <a:solidFill>
                  <a:srgbClr val="000099"/>
                </a:solidFill>
              </a:rPr>
              <a:t> most frequently ?</a:t>
            </a:r>
            <a:endParaRPr lang="en-US" sz="1100" b="1" i="0">
              <a:solidFill>
                <a:srgbClr val="000099"/>
              </a:solidFill>
            </a:endParaRPr>
          </a:p>
        </c:rich>
      </c:tx>
      <c:layout>
        <c:manualLayout>
          <c:xMode val="edge"/>
          <c:yMode val="edge"/>
          <c:x val="0.30841877443222221"/>
          <c:y val="9.6299526930391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'Complaints by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77-4DD5-83F1-B77FB908DEF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77-4DD5-83F1-B77FB908DEF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77-4DD5-83F1-B77FB908DEF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77-4DD5-83F1-B77FB908DEF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77-4DD5-83F1-B77FB908DE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'Complaints by Category'!$A$4:$A$9</c:f>
              <c:strCache>
                <c:ptCount val="5"/>
                <c:pt idx="0">
                  <c:v>Billing</c:v>
                </c:pt>
                <c:pt idx="1">
                  <c:v>Delivery</c:v>
                </c:pt>
                <c:pt idx="2">
                  <c:v>Product Quality</c:v>
                </c:pt>
                <c:pt idx="3">
                  <c:v>Service Delay</c:v>
                </c:pt>
                <c:pt idx="4">
                  <c:v>Technical Support</c:v>
                </c:pt>
              </c:strCache>
            </c:strRef>
          </c:cat>
          <c:val>
            <c:numRef>
              <c:f>'Complaints by Category'!$B$4:$B$9</c:f>
              <c:numCache>
                <c:formatCode>General</c:formatCode>
                <c:ptCount val="5"/>
                <c:pt idx="0">
                  <c:v>5</c:v>
                </c:pt>
                <c:pt idx="1">
                  <c:v>6</c:v>
                </c:pt>
                <c:pt idx="2">
                  <c:v>5</c:v>
                </c:pt>
                <c:pt idx="3">
                  <c:v>4</c:v>
                </c:pt>
                <c:pt idx="4">
                  <c:v>5</c:v>
                </c:pt>
              </c:numCache>
            </c:numRef>
          </c:val>
          <c:extLst>
            <c:ext xmlns:c16="http://schemas.microsoft.com/office/drawing/2014/chart" uri="{C3380CC4-5D6E-409C-BE32-E72D297353CC}">
              <c16:uniqueId val="{00000000-3ECA-4630-807D-B384564DA438}"/>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[Project-004-Customer-Service-Analysis.xlsx]High Priority Complaints!PivotTable3</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a:t>High Priority Complaints Requiring Attention</a:t>
            </a:r>
          </a:p>
          <a:p>
            <a:pPr>
              <a:defRPr sz="1200"/>
            </a:pPr>
            <a:r>
              <a:rPr lang="en-US" sz="1100"/>
              <a:t>(Responsiveness to Critical Issues)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Priority Complaints'!$B$3:$B$4</c:f>
              <c:strCache>
                <c:ptCount val="1"/>
                <c:pt idx="0">
                  <c:v>Billing</c:v>
                </c:pt>
              </c:strCache>
            </c:strRef>
          </c:tx>
          <c:spPr>
            <a:solidFill>
              <a:schemeClr val="accent3">
                <a:tint val="54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Complaints'!$B$5:$B$8</c:f>
              <c:numCache>
                <c:formatCode>General</c:formatCode>
                <c:ptCount val="3"/>
                <c:pt idx="0">
                  <c:v>1</c:v>
                </c:pt>
                <c:pt idx="1">
                  <c:v>2</c:v>
                </c:pt>
                <c:pt idx="2">
                  <c:v>2</c:v>
                </c:pt>
              </c:numCache>
            </c:numRef>
          </c:val>
          <c:extLst>
            <c:ext xmlns:c16="http://schemas.microsoft.com/office/drawing/2014/chart" uri="{C3380CC4-5D6E-409C-BE32-E72D297353CC}">
              <c16:uniqueId val="{00000000-4FEF-491C-8AC7-FADDAB5F6603}"/>
            </c:ext>
          </c:extLst>
        </c:ser>
        <c:ser>
          <c:idx val="1"/>
          <c:order val="1"/>
          <c:tx>
            <c:strRef>
              <c:f>'High Priority Complaints'!$C$3:$C$4</c:f>
              <c:strCache>
                <c:ptCount val="1"/>
                <c:pt idx="0">
                  <c:v>Delivery</c:v>
                </c:pt>
              </c:strCache>
            </c:strRef>
          </c:tx>
          <c:spPr>
            <a:solidFill>
              <a:schemeClr val="accent3">
                <a:tint val="77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Complaints'!$C$5:$C$8</c:f>
              <c:numCache>
                <c:formatCode>General</c:formatCode>
                <c:ptCount val="3"/>
                <c:pt idx="0">
                  <c:v>2</c:v>
                </c:pt>
                <c:pt idx="1">
                  <c:v>2</c:v>
                </c:pt>
                <c:pt idx="2">
                  <c:v>2</c:v>
                </c:pt>
              </c:numCache>
            </c:numRef>
          </c:val>
          <c:extLst>
            <c:ext xmlns:c16="http://schemas.microsoft.com/office/drawing/2014/chart" uri="{C3380CC4-5D6E-409C-BE32-E72D297353CC}">
              <c16:uniqueId val="{00000003-7BA0-4180-8078-FD7AAEE96BA1}"/>
            </c:ext>
          </c:extLst>
        </c:ser>
        <c:ser>
          <c:idx val="2"/>
          <c:order val="2"/>
          <c:tx>
            <c:strRef>
              <c:f>'High Priority Complaints'!$D$3:$D$4</c:f>
              <c:strCache>
                <c:ptCount val="1"/>
                <c:pt idx="0">
                  <c:v>Product Quality</c:v>
                </c:pt>
              </c:strCache>
            </c:strRef>
          </c:tx>
          <c:spPr>
            <a:solidFill>
              <a:schemeClr val="accent3"/>
            </a:solidFill>
            <a:ln>
              <a:noFill/>
            </a:ln>
            <a:effectLst/>
          </c:spPr>
          <c:invertIfNegative val="0"/>
          <c:cat>
            <c:strRef>
              <c:f>'High Priority Complaints'!$A$5:$A$8</c:f>
              <c:strCache>
                <c:ptCount val="3"/>
                <c:pt idx="0">
                  <c:v>High</c:v>
                </c:pt>
                <c:pt idx="1">
                  <c:v>Low</c:v>
                </c:pt>
                <c:pt idx="2">
                  <c:v>Medium</c:v>
                </c:pt>
              </c:strCache>
            </c:strRef>
          </c:cat>
          <c:val>
            <c:numRef>
              <c:f>'High Priority Complaints'!$D$5:$D$8</c:f>
              <c:numCache>
                <c:formatCode>General</c:formatCode>
                <c:ptCount val="3"/>
                <c:pt idx="0">
                  <c:v>3</c:v>
                </c:pt>
                <c:pt idx="2">
                  <c:v>2</c:v>
                </c:pt>
              </c:numCache>
            </c:numRef>
          </c:val>
          <c:extLst>
            <c:ext xmlns:c16="http://schemas.microsoft.com/office/drawing/2014/chart" uri="{C3380CC4-5D6E-409C-BE32-E72D297353CC}">
              <c16:uniqueId val="{00000004-7BA0-4180-8078-FD7AAEE96BA1}"/>
            </c:ext>
          </c:extLst>
        </c:ser>
        <c:ser>
          <c:idx val="3"/>
          <c:order val="3"/>
          <c:tx>
            <c:strRef>
              <c:f>'High Priority Complaints'!$E$3:$E$4</c:f>
              <c:strCache>
                <c:ptCount val="1"/>
                <c:pt idx="0">
                  <c:v>Service Delay</c:v>
                </c:pt>
              </c:strCache>
            </c:strRef>
          </c:tx>
          <c:spPr>
            <a:solidFill>
              <a:schemeClr val="accent3">
                <a:shade val="76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Complaints'!$E$5:$E$8</c:f>
              <c:numCache>
                <c:formatCode>General</c:formatCode>
                <c:ptCount val="3"/>
                <c:pt idx="0">
                  <c:v>3</c:v>
                </c:pt>
                <c:pt idx="2">
                  <c:v>1</c:v>
                </c:pt>
              </c:numCache>
            </c:numRef>
          </c:val>
          <c:extLst>
            <c:ext xmlns:c16="http://schemas.microsoft.com/office/drawing/2014/chart" uri="{C3380CC4-5D6E-409C-BE32-E72D297353CC}">
              <c16:uniqueId val="{00000005-7BA0-4180-8078-FD7AAEE96BA1}"/>
            </c:ext>
          </c:extLst>
        </c:ser>
        <c:ser>
          <c:idx val="4"/>
          <c:order val="4"/>
          <c:tx>
            <c:strRef>
              <c:f>'High Priority Complaints'!$F$3:$F$4</c:f>
              <c:strCache>
                <c:ptCount val="1"/>
                <c:pt idx="0">
                  <c:v>Technical Support</c:v>
                </c:pt>
              </c:strCache>
            </c:strRef>
          </c:tx>
          <c:spPr>
            <a:solidFill>
              <a:schemeClr val="accent3">
                <a:shade val="53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Complaints'!$F$5:$F$8</c:f>
              <c:numCache>
                <c:formatCode>General</c:formatCode>
                <c:ptCount val="3"/>
                <c:pt idx="0">
                  <c:v>3</c:v>
                </c:pt>
                <c:pt idx="1">
                  <c:v>1</c:v>
                </c:pt>
                <c:pt idx="2">
                  <c:v>1</c:v>
                </c:pt>
              </c:numCache>
            </c:numRef>
          </c:val>
          <c:extLst>
            <c:ext xmlns:c16="http://schemas.microsoft.com/office/drawing/2014/chart" uri="{C3380CC4-5D6E-409C-BE32-E72D297353CC}">
              <c16:uniqueId val="{00000006-7BA0-4180-8078-FD7AAEE96BA1}"/>
            </c:ext>
          </c:extLst>
        </c:ser>
        <c:dLbls>
          <c:showLegendKey val="0"/>
          <c:showVal val="0"/>
          <c:showCatName val="0"/>
          <c:showSerName val="0"/>
          <c:showPercent val="0"/>
          <c:showBubbleSize val="0"/>
        </c:dLbls>
        <c:gapWidth val="219"/>
        <c:overlap val="-27"/>
        <c:axId val="760509951"/>
        <c:axId val="760510911"/>
      </c:barChart>
      <c:catAx>
        <c:axId val="7605099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0510911"/>
        <c:crosses val="autoZero"/>
        <c:auto val="1"/>
        <c:lblAlgn val="ctr"/>
        <c:lblOffset val="100"/>
        <c:noMultiLvlLbl val="0"/>
      </c:catAx>
      <c:valAx>
        <c:axId val="76051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0509951"/>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[Project-004-Customer-Service-Analysis.xlsx]Avg Satisfaction by Category!PivotTable1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Average Satisfaction</a:t>
            </a:r>
            <a:r>
              <a:rPr lang="en-US" sz="1100" b="1" baseline="0">
                <a:solidFill>
                  <a:schemeClr val="tx1"/>
                </a:solidFill>
              </a:rPr>
              <a:t> Score by Complaint Category</a:t>
            </a:r>
            <a:endParaRPr lang="en-US" sz="1100" b="1">
              <a:solidFill>
                <a:schemeClr val="tx1"/>
              </a:solidFill>
            </a:endParaRPr>
          </a:p>
        </c:rich>
      </c:tx>
      <c:layout>
        <c:manualLayout>
          <c:xMode val="edge"/>
          <c:yMode val="edge"/>
          <c:x val="0.190756999125109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Satisfaction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Satisfaction by Category'!$A$4:$A$9</c:f>
              <c:strCache>
                <c:ptCount val="5"/>
                <c:pt idx="0">
                  <c:v>Billing</c:v>
                </c:pt>
                <c:pt idx="1">
                  <c:v>Delivery</c:v>
                </c:pt>
                <c:pt idx="2">
                  <c:v>Product Quality</c:v>
                </c:pt>
                <c:pt idx="3">
                  <c:v>Service Delay</c:v>
                </c:pt>
                <c:pt idx="4">
                  <c:v>Technical Support</c:v>
                </c:pt>
              </c:strCache>
            </c:strRef>
          </c:cat>
          <c:val>
            <c:numRef>
              <c:f>'Avg Satisfaction by Category'!$B$4:$B$9</c:f>
              <c:numCache>
                <c:formatCode>General</c:formatCode>
                <c:ptCount val="5"/>
                <c:pt idx="0">
                  <c:v>4.8</c:v>
                </c:pt>
                <c:pt idx="1">
                  <c:v>3.8333333333333335</c:v>
                </c:pt>
                <c:pt idx="2">
                  <c:v>2.6</c:v>
                </c:pt>
                <c:pt idx="3">
                  <c:v>2.5</c:v>
                </c:pt>
                <c:pt idx="4">
                  <c:v>2.6</c:v>
                </c:pt>
              </c:numCache>
            </c:numRef>
          </c:val>
          <c:extLst>
            <c:ext xmlns:c16="http://schemas.microsoft.com/office/drawing/2014/chart" uri="{C3380CC4-5D6E-409C-BE32-E72D297353CC}">
              <c16:uniqueId val="{00000000-D512-4136-8176-F1EAB5604866}"/>
            </c:ext>
          </c:extLst>
        </c:ser>
        <c:dLbls>
          <c:dLblPos val="outEnd"/>
          <c:showLegendKey val="0"/>
          <c:showVal val="1"/>
          <c:showCatName val="0"/>
          <c:showSerName val="0"/>
          <c:showPercent val="0"/>
          <c:showBubbleSize val="0"/>
        </c:dLbls>
        <c:gapWidth val="182"/>
        <c:axId val="1197980175"/>
        <c:axId val="1197982575"/>
      </c:barChart>
      <c:catAx>
        <c:axId val="119798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7982575"/>
        <c:crosses val="autoZero"/>
        <c:auto val="1"/>
        <c:lblAlgn val="ctr"/>
        <c:lblOffset val="100"/>
        <c:noMultiLvlLbl val="0"/>
      </c:catAx>
      <c:valAx>
        <c:axId val="1197982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798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[Project-004-Customer-Service-Analysis.xlsx]Operational Back-log!PivotTable1</c:name>
    <c:fmtId val="26"/>
  </c:pivotSource>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sz="1200" b="1">
                <a:solidFill>
                  <a:srgbClr val="000099"/>
                </a:solidFill>
              </a:rPr>
              <a:t>Open vs Closed vs Pending Complaints</a:t>
            </a:r>
          </a:p>
          <a:p>
            <a:pPr>
              <a:defRPr>
                <a:solidFill>
                  <a:srgbClr val="000099"/>
                </a:solidFill>
              </a:defRPr>
            </a:pPr>
            <a:r>
              <a:rPr lang="en-US" sz="1000" b="1">
                <a:solidFill>
                  <a:srgbClr val="000099"/>
                </a:solidFill>
              </a:rPr>
              <a:t>(Operational Back-log)</a:t>
            </a:r>
          </a:p>
        </c:rich>
      </c:tx>
      <c:layout>
        <c:manualLayout>
          <c:xMode val="edge"/>
          <c:yMode val="edge"/>
          <c:x val="0.29675408994928265"/>
          <c:y val="8.49861879509959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'Operational Back-log'!$B$3</c:f>
              <c:strCache>
                <c:ptCount val="1"/>
                <c:pt idx="0">
                  <c:v>Total</c:v>
                </c:pt>
              </c:strCache>
            </c:strRef>
          </c:tx>
          <c:spPr>
            <a:solidFill>
              <a:schemeClr val="accent6"/>
            </a:solidFill>
            <a:ln>
              <a:noFill/>
            </a:ln>
            <a:effectLst/>
          </c:spPr>
          <c:invertIfNegative val="0"/>
          <c:cat>
            <c:strRef>
              <c:f>'Operational Back-log'!$A$4:$A$7</c:f>
              <c:strCache>
                <c:ptCount val="3"/>
                <c:pt idx="0">
                  <c:v>Closed</c:v>
                </c:pt>
                <c:pt idx="1">
                  <c:v>Open</c:v>
                </c:pt>
                <c:pt idx="2">
                  <c:v>Pending</c:v>
                </c:pt>
              </c:strCache>
            </c:strRef>
          </c:cat>
          <c:val>
            <c:numRef>
              <c:f>'Operational Back-log'!$B$4:$B$7</c:f>
              <c:numCache>
                <c:formatCode>General</c:formatCode>
                <c:ptCount val="3"/>
                <c:pt idx="0">
                  <c:v>18</c:v>
                </c:pt>
                <c:pt idx="1">
                  <c:v>3</c:v>
                </c:pt>
                <c:pt idx="2">
                  <c:v>4</c:v>
                </c:pt>
              </c:numCache>
            </c:numRef>
          </c:val>
          <c:extLst>
            <c:ext xmlns:c16="http://schemas.microsoft.com/office/drawing/2014/chart" uri="{C3380CC4-5D6E-409C-BE32-E72D297353CC}">
              <c16:uniqueId val="{00000000-3E7B-44C9-894C-2F95BD6F3F5D}"/>
            </c:ext>
          </c:extLst>
        </c:ser>
        <c:dLbls>
          <c:showLegendKey val="0"/>
          <c:showVal val="0"/>
          <c:showCatName val="0"/>
          <c:showSerName val="0"/>
          <c:showPercent val="0"/>
          <c:showBubbleSize val="0"/>
        </c:dLbls>
        <c:gapWidth val="219"/>
        <c:overlap val="-27"/>
        <c:axId val="543206255"/>
        <c:axId val="543203375"/>
      </c:barChart>
      <c:catAx>
        <c:axId val="54320625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3203375"/>
        <c:crosses val="autoZero"/>
        <c:auto val="1"/>
        <c:lblAlgn val="ctr"/>
        <c:lblOffset val="100"/>
        <c:noMultiLvlLbl val="0"/>
      </c:catAx>
      <c:valAx>
        <c:axId val="54320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3206255"/>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[Project-004-Customer-Service-Analysis.xlsx]Complaints by 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0099"/>
                </a:solidFill>
              </a:rPr>
              <a:t>Complaints by Category</a:t>
            </a:r>
          </a:p>
          <a:p>
            <a:pPr>
              <a:defRPr/>
            </a:pPr>
            <a:r>
              <a:rPr lang="en-US" sz="1000" b="1" i="0">
                <a:solidFill>
                  <a:srgbClr val="000099"/>
                </a:solidFill>
              </a:rPr>
              <a:t>Where complaints occur</a:t>
            </a:r>
            <a:r>
              <a:rPr lang="en-US" sz="1000" b="1" i="0" baseline="0">
                <a:solidFill>
                  <a:srgbClr val="000099"/>
                </a:solidFill>
              </a:rPr>
              <a:t> most frequently ?</a:t>
            </a:r>
            <a:endParaRPr lang="en-US" sz="1000" b="1" i="0">
              <a:solidFill>
                <a:srgbClr val="000099"/>
              </a:solidFill>
            </a:endParaRPr>
          </a:p>
        </c:rich>
      </c:tx>
      <c:layout>
        <c:manualLayout>
          <c:xMode val="edge"/>
          <c:yMode val="edge"/>
          <c:x val="0.31421139878290838"/>
          <c:y val="7.0471675734410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dLbl>
          <c:idx val="0"/>
          <c:layout>
            <c:manualLayout>
              <c:x val="0"/>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'Complaints by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282-4115-8359-D23B06E9E5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282-4115-8359-D23B06E9E5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282-4115-8359-D23B06E9E53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282-4115-8359-D23B06E9E53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282-4115-8359-D23B06E9E53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'Complaints by Category'!$A$4:$A$9</c:f>
              <c:strCache>
                <c:ptCount val="5"/>
                <c:pt idx="0">
                  <c:v>Billing</c:v>
                </c:pt>
                <c:pt idx="1">
                  <c:v>Delivery</c:v>
                </c:pt>
                <c:pt idx="2">
                  <c:v>Product Quality</c:v>
                </c:pt>
                <c:pt idx="3">
                  <c:v>Service Delay</c:v>
                </c:pt>
                <c:pt idx="4">
                  <c:v>Technical Support</c:v>
                </c:pt>
              </c:strCache>
            </c:strRef>
          </c:cat>
          <c:val>
            <c:numRef>
              <c:f>'Complaints by Category'!$B$4:$B$9</c:f>
              <c:numCache>
                <c:formatCode>General</c:formatCode>
                <c:ptCount val="5"/>
                <c:pt idx="0">
                  <c:v>5</c:v>
                </c:pt>
                <c:pt idx="1">
                  <c:v>6</c:v>
                </c:pt>
                <c:pt idx="2">
                  <c:v>5</c:v>
                </c:pt>
                <c:pt idx="3">
                  <c:v>4</c:v>
                </c:pt>
                <c:pt idx="4">
                  <c:v>5</c:v>
                </c:pt>
              </c:numCache>
            </c:numRef>
          </c:val>
          <c:extLst>
            <c:ext xmlns:c16="http://schemas.microsoft.com/office/drawing/2014/chart" uri="{C3380CC4-5D6E-409C-BE32-E72D297353CC}">
              <c16:uniqueId val="{0000000A-8282-4115-8359-D23B06E9E531}"/>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[Project-004-Customer-Service-Analysis.xlsx]High Priority Complaints!PivotTable3</c:name>
    <c:fmtId val="2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a:solidFill>
                  <a:srgbClr val="000099"/>
                </a:solidFill>
              </a:rPr>
              <a:t>High Priority Complaints Requiring Attention</a:t>
            </a:r>
          </a:p>
          <a:p>
            <a:pPr>
              <a:defRPr sz="1200"/>
            </a:pPr>
            <a:r>
              <a:rPr lang="en-US" sz="1100">
                <a:solidFill>
                  <a:srgbClr val="000099"/>
                </a:solidFill>
              </a:rPr>
              <a:t>(Responsiveness to Critical Issues)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Priority Complaints'!$B$3:$B$4</c:f>
              <c:strCache>
                <c:ptCount val="1"/>
                <c:pt idx="0">
                  <c:v>Billing</c:v>
                </c:pt>
              </c:strCache>
            </c:strRef>
          </c:tx>
          <c:spPr>
            <a:solidFill>
              <a:schemeClr val="accent3">
                <a:tint val="54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Complaints'!$B$5:$B$8</c:f>
              <c:numCache>
                <c:formatCode>General</c:formatCode>
                <c:ptCount val="3"/>
                <c:pt idx="0">
                  <c:v>1</c:v>
                </c:pt>
                <c:pt idx="1">
                  <c:v>2</c:v>
                </c:pt>
                <c:pt idx="2">
                  <c:v>2</c:v>
                </c:pt>
              </c:numCache>
            </c:numRef>
          </c:val>
          <c:extLst>
            <c:ext xmlns:c16="http://schemas.microsoft.com/office/drawing/2014/chart" uri="{C3380CC4-5D6E-409C-BE32-E72D297353CC}">
              <c16:uniqueId val="{00000000-6382-4F00-BDDC-A91D70495C56}"/>
            </c:ext>
          </c:extLst>
        </c:ser>
        <c:ser>
          <c:idx val="1"/>
          <c:order val="1"/>
          <c:tx>
            <c:strRef>
              <c:f>'High Priority Complaints'!$C$3:$C$4</c:f>
              <c:strCache>
                <c:ptCount val="1"/>
                <c:pt idx="0">
                  <c:v>Delivery</c:v>
                </c:pt>
              </c:strCache>
            </c:strRef>
          </c:tx>
          <c:spPr>
            <a:solidFill>
              <a:schemeClr val="accent3">
                <a:tint val="77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Complaints'!$C$5:$C$8</c:f>
              <c:numCache>
                <c:formatCode>General</c:formatCode>
                <c:ptCount val="3"/>
                <c:pt idx="0">
                  <c:v>2</c:v>
                </c:pt>
                <c:pt idx="1">
                  <c:v>2</c:v>
                </c:pt>
                <c:pt idx="2">
                  <c:v>2</c:v>
                </c:pt>
              </c:numCache>
            </c:numRef>
          </c:val>
          <c:extLst>
            <c:ext xmlns:c16="http://schemas.microsoft.com/office/drawing/2014/chart" uri="{C3380CC4-5D6E-409C-BE32-E72D297353CC}">
              <c16:uniqueId val="{00000001-6382-4F00-BDDC-A91D70495C56}"/>
            </c:ext>
          </c:extLst>
        </c:ser>
        <c:ser>
          <c:idx val="2"/>
          <c:order val="2"/>
          <c:tx>
            <c:strRef>
              <c:f>'High Priority Complaints'!$D$3:$D$4</c:f>
              <c:strCache>
                <c:ptCount val="1"/>
                <c:pt idx="0">
                  <c:v>Product Quality</c:v>
                </c:pt>
              </c:strCache>
            </c:strRef>
          </c:tx>
          <c:spPr>
            <a:solidFill>
              <a:schemeClr val="accent3"/>
            </a:solidFill>
            <a:ln>
              <a:noFill/>
            </a:ln>
            <a:effectLst/>
          </c:spPr>
          <c:invertIfNegative val="0"/>
          <c:cat>
            <c:strRef>
              <c:f>'High Priority Complaints'!$A$5:$A$8</c:f>
              <c:strCache>
                <c:ptCount val="3"/>
                <c:pt idx="0">
                  <c:v>High</c:v>
                </c:pt>
                <c:pt idx="1">
                  <c:v>Low</c:v>
                </c:pt>
                <c:pt idx="2">
                  <c:v>Medium</c:v>
                </c:pt>
              </c:strCache>
            </c:strRef>
          </c:cat>
          <c:val>
            <c:numRef>
              <c:f>'High Priority Complaints'!$D$5:$D$8</c:f>
              <c:numCache>
                <c:formatCode>General</c:formatCode>
                <c:ptCount val="3"/>
                <c:pt idx="0">
                  <c:v>3</c:v>
                </c:pt>
                <c:pt idx="2">
                  <c:v>2</c:v>
                </c:pt>
              </c:numCache>
            </c:numRef>
          </c:val>
          <c:extLst>
            <c:ext xmlns:c16="http://schemas.microsoft.com/office/drawing/2014/chart" uri="{C3380CC4-5D6E-409C-BE32-E72D297353CC}">
              <c16:uniqueId val="{00000002-6382-4F00-BDDC-A91D70495C56}"/>
            </c:ext>
          </c:extLst>
        </c:ser>
        <c:ser>
          <c:idx val="3"/>
          <c:order val="3"/>
          <c:tx>
            <c:strRef>
              <c:f>'High Priority Complaints'!$E$3:$E$4</c:f>
              <c:strCache>
                <c:ptCount val="1"/>
                <c:pt idx="0">
                  <c:v>Service Delay</c:v>
                </c:pt>
              </c:strCache>
            </c:strRef>
          </c:tx>
          <c:spPr>
            <a:solidFill>
              <a:schemeClr val="accent3">
                <a:shade val="76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Complaints'!$E$5:$E$8</c:f>
              <c:numCache>
                <c:formatCode>General</c:formatCode>
                <c:ptCount val="3"/>
                <c:pt idx="0">
                  <c:v>3</c:v>
                </c:pt>
                <c:pt idx="2">
                  <c:v>1</c:v>
                </c:pt>
              </c:numCache>
            </c:numRef>
          </c:val>
          <c:extLst>
            <c:ext xmlns:c16="http://schemas.microsoft.com/office/drawing/2014/chart" uri="{C3380CC4-5D6E-409C-BE32-E72D297353CC}">
              <c16:uniqueId val="{00000003-6382-4F00-BDDC-A91D70495C56}"/>
            </c:ext>
          </c:extLst>
        </c:ser>
        <c:ser>
          <c:idx val="4"/>
          <c:order val="4"/>
          <c:tx>
            <c:strRef>
              <c:f>'High Priority Complaints'!$F$3:$F$4</c:f>
              <c:strCache>
                <c:ptCount val="1"/>
                <c:pt idx="0">
                  <c:v>Technical Support</c:v>
                </c:pt>
              </c:strCache>
            </c:strRef>
          </c:tx>
          <c:spPr>
            <a:solidFill>
              <a:schemeClr val="accent3">
                <a:shade val="53000"/>
              </a:schemeClr>
            </a:solidFill>
            <a:ln>
              <a:noFill/>
            </a:ln>
            <a:effectLst/>
          </c:spPr>
          <c:invertIfNegative val="0"/>
          <c:cat>
            <c:strRef>
              <c:f>'High Priority Complaints'!$A$5:$A$8</c:f>
              <c:strCache>
                <c:ptCount val="3"/>
                <c:pt idx="0">
                  <c:v>High</c:v>
                </c:pt>
                <c:pt idx="1">
                  <c:v>Low</c:v>
                </c:pt>
                <c:pt idx="2">
                  <c:v>Medium</c:v>
                </c:pt>
              </c:strCache>
            </c:strRef>
          </c:cat>
          <c:val>
            <c:numRef>
              <c:f>'High Priority Complaints'!$F$5:$F$8</c:f>
              <c:numCache>
                <c:formatCode>General</c:formatCode>
                <c:ptCount val="3"/>
                <c:pt idx="0">
                  <c:v>3</c:v>
                </c:pt>
                <c:pt idx="1">
                  <c:v>1</c:v>
                </c:pt>
                <c:pt idx="2">
                  <c:v>1</c:v>
                </c:pt>
              </c:numCache>
            </c:numRef>
          </c:val>
          <c:extLst>
            <c:ext xmlns:c16="http://schemas.microsoft.com/office/drawing/2014/chart" uri="{C3380CC4-5D6E-409C-BE32-E72D297353CC}">
              <c16:uniqueId val="{00000004-6382-4F00-BDDC-A91D70495C56}"/>
            </c:ext>
          </c:extLst>
        </c:ser>
        <c:dLbls>
          <c:showLegendKey val="0"/>
          <c:showVal val="0"/>
          <c:showCatName val="0"/>
          <c:showSerName val="0"/>
          <c:showPercent val="0"/>
          <c:showBubbleSize val="0"/>
        </c:dLbls>
        <c:gapWidth val="219"/>
        <c:overlap val="-27"/>
        <c:axId val="760509951"/>
        <c:axId val="760510911"/>
      </c:barChart>
      <c:catAx>
        <c:axId val="7605099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0510911"/>
        <c:crosses val="autoZero"/>
        <c:auto val="1"/>
        <c:lblAlgn val="ctr"/>
        <c:lblOffset val="100"/>
        <c:noMultiLvlLbl val="0"/>
      </c:catAx>
      <c:valAx>
        <c:axId val="76051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0509951"/>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[Project-004-Customer-Service-Analysis.xlsx]Avg Satisfaction by Category!PivotTable1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000099"/>
                </a:solidFill>
              </a:rPr>
              <a:t>Average Satisfaction</a:t>
            </a:r>
            <a:r>
              <a:rPr lang="en-US" sz="1100" b="1" baseline="0">
                <a:solidFill>
                  <a:srgbClr val="000099"/>
                </a:solidFill>
              </a:rPr>
              <a:t> Score by Complaint Category</a:t>
            </a:r>
            <a:endParaRPr lang="en-US" sz="1100" b="1">
              <a:solidFill>
                <a:srgbClr val="000099"/>
              </a:solidFill>
            </a:endParaRPr>
          </a:p>
        </c:rich>
      </c:tx>
      <c:layout>
        <c:manualLayout>
          <c:xMode val="edge"/>
          <c:yMode val="edge"/>
          <c:x val="0.190756999125109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Satisfaction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Satisfaction by Category'!$A$4:$A$9</c:f>
              <c:strCache>
                <c:ptCount val="5"/>
                <c:pt idx="0">
                  <c:v>Billing</c:v>
                </c:pt>
                <c:pt idx="1">
                  <c:v>Delivery</c:v>
                </c:pt>
                <c:pt idx="2">
                  <c:v>Product Quality</c:v>
                </c:pt>
                <c:pt idx="3">
                  <c:v>Service Delay</c:v>
                </c:pt>
                <c:pt idx="4">
                  <c:v>Technical Support</c:v>
                </c:pt>
              </c:strCache>
            </c:strRef>
          </c:cat>
          <c:val>
            <c:numRef>
              <c:f>'Avg Satisfaction by Category'!$B$4:$B$9</c:f>
              <c:numCache>
                <c:formatCode>General</c:formatCode>
                <c:ptCount val="5"/>
                <c:pt idx="0">
                  <c:v>4.8</c:v>
                </c:pt>
                <c:pt idx="1">
                  <c:v>3.8333333333333335</c:v>
                </c:pt>
                <c:pt idx="2">
                  <c:v>2.6</c:v>
                </c:pt>
                <c:pt idx="3">
                  <c:v>2.5</c:v>
                </c:pt>
                <c:pt idx="4">
                  <c:v>2.6</c:v>
                </c:pt>
              </c:numCache>
            </c:numRef>
          </c:val>
          <c:extLst>
            <c:ext xmlns:c16="http://schemas.microsoft.com/office/drawing/2014/chart" uri="{C3380CC4-5D6E-409C-BE32-E72D297353CC}">
              <c16:uniqueId val="{00000000-2E4A-4DF5-8061-B9E1DBD82BE9}"/>
            </c:ext>
          </c:extLst>
        </c:ser>
        <c:dLbls>
          <c:dLblPos val="outEnd"/>
          <c:showLegendKey val="0"/>
          <c:showVal val="1"/>
          <c:showCatName val="0"/>
          <c:showSerName val="0"/>
          <c:showPercent val="0"/>
          <c:showBubbleSize val="0"/>
        </c:dLbls>
        <c:gapWidth val="182"/>
        <c:axId val="1197980175"/>
        <c:axId val="1197982575"/>
      </c:barChart>
      <c:catAx>
        <c:axId val="119798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7982575"/>
        <c:crosses val="autoZero"/>
        <c:auto val="1"/>
        <c:lblAlgn val="ctr"/>
        <c:lblOffset val="100"/>
        <c:noMultiLvlLbl val="0"/>
      </c:catAx>
      <c:valAx>
        <c:axId val="1197982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798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4281</xdr:colOff>
      <xdr:row>1</xdr:row>
      <xdr:rowOff>173805</xdr:rowOff>
    </xdr:from>
    <xdr:to>
      <xdr:col>15</xdr:col>
      <xdr:colOff>8561</xdr:colOff>
      <xdr:row>22</xdr:row>
      <xdr:rowOff>77056</xdr:rowOff>
    </xdr:to>
    <xdr:graphicFrame macro="">
      <xdr:nvGraphicFramePr>
        <xdr:cNvPr id="2" name="Chart 1">
          <a:extLst>
            <a:ext uri="{FF2B5EF4-FFF2-40B4-BE49-F238E27FC236}">
              <a16:creationId xmlns:a16="http://schemas.microsoft.com/office/drawing/2014/main" id="{B34F996C-DA45-FC5E-2100-050989C10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13</xdr:col>
      <xdr:colOff>0</xdr:colOff>
      <xdr:row>22</xdr:row>
      <xdr:rowOff>15240</xdr:rowOff>
    </xdr:to>
    <xdr:graphicFrame macro="">
      <xdr:nvGraphicFramePr>
        <xdr:cNvPr id="2" name="Chart 1">
          <a:extLst>
            <a:ext uri="{FF2B5EF4-FFF2-40B4-BE49-F238E27FC236}">
              <a16:creationId xmlns:a16="http://schemas.microsoft.com/office/drawing/2014/main" id="{0A356AB3-FA9E-8700-F5D9-7B4A0E67C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297180</xdr:colOff>
      <xdr:row>1</xdr:row>
      <xdr:rowOff>175260</xdr:rowOff>
    </xdr:from>
    <xdr:to>
      <xdr:col>18</xdr:col>
      <xdr:colOff>114300</xdr:colOff>
      <xdr:row>21</xdr:row>
      <xdr:rowOff>99060</xdr:rowOff>
    </xdr:to>
    <xdr:graphicFrame macro="">
      <xdr:nvGraphicFramePr>
        <xdr:cNvPr id="2" name="Chart 1">
          <a:extLst>
            <a:ext uri="{FF2B5EF4-FFF2-40B4-BE49-F238E27FC236}">
              <a16:creationId xmlns:a16="http://schemas.microsoft.com/office/drawing/2014/main" id="{2C70611C-5237-C875-E748-AB0D50744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2</xdr:row>
      <xdr:rowOff>15240</xdr:rowOff>
    </xdr:from>
    <xdr:to>
      <xdr:col>11</xdr:col>
      <xdr:colOff>137160</xdr:colOff>
      <xdr:row>20</xdr:row>
      <xdr:rowOff>38100</xdr:rowOff>
    </xdr:to>
    <xdr:graphicFrame macro="">
      <xdr:nvGraphicFramePr>
        <xdr:cNvPr id="3" name="Chart 2">
          <a:extLst>
            <a:ext uri="{FF2B5EF4-FFF2-40B4-BE49-F238E27FC236}">
              <a16:creationId xmlns:a16="http://schemas.microsoft.com/office/drawing/2014/main" id="{CF36B4FC-1C82-68C3-3FE9-DB10395F7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15</xdr:row>
      <xdr:rowOff>0</xdr:rowOff>
    </xdr:from>
    <xdr:to>
      <xdr:col>9</xdr:col>
      <xdr:colOff>7620</xdr:colOff>
      <xdr:row>28</xdr:row>
      <xdr:rowOff>175260</xdr:rowOff>
    </xdr:to>
    <xdr:graphicFrame macro="">
      <xdr:nvGraphicFramePr>
        <xdr:cNvPr id="4" name="Chart 3">
          <a:extLst>
            <a:ext uri="{FF2B5EF4-FFF2-40B4-BE49-F238E27FC236}">
              <a16:creationId xmlns:a16="http://schemas.microsoft.com/office/drawing/2014/main" id="{3EE24556-0021-4393-AAC6-5884F745C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14</xdr:row>
      <xdr:rowOff>238124</xdr:rowOff>
    </xdr:from>
    <xdr:to>
      <xdr:col>20</xdr:col>
      <xdr:colOff>15240</xdr:colOff>
      <xdr:row>28</xdr:row>
      <xdr:rowOff>180974</xdr:rowOff>
    </xdr:to>
    <xdr:graphicFrame macro="">
      <xdr:nvGraphicFramePr>
        <xdr:cNvPr id="5" name="Chart 4">
          <a:extLst>
            <a:ext uri="{FF2B5EF4-FFF2-40B4-BE49-F238E27FC236}">
              <a16:creationId xmlns:a16="http://schemas.microsoft.com/office/drawing/2014/main" id="{76E859A3-9183-4F52-BB3F-2C4FDBA06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7620</xdr:rowOff>
    </xdr:from>
    <xdr:to>
      <xdr:col>9</xdr:col>
      <xdr:colOff>0</xdr:colOff>
      <xdr:row>48</xdr:row>
      <xdr:rowOff>180975</xdr:rowOff>
    </xdr:to>
    <xdr:graphicFrame macro="">
      <xdr:nvGraphicFramePr>
        <xdr:cNvPr id="6" name="Chart 5">
          <a:extLst>
            <a:ext uri="{FF2B5EF4-FFF2-40B4-BE49-F238E27FC236}">
              <a16:creationId xmlns:a16="http://schemas.microsoft.com/office/drawing/2014/main" id="{7496DE82-7739-4974-8594-F255571A6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31</xdr:row>
      <xdr:rowOff>0</xdr:rowOff>
    </xdr:from>
    <xdr:to>
      <xdr:col>20</xdr:col>
      <xdr:colOff>7620</xdr:colOff>
      <xdr:row>49</xdr:row>
      <xdr:rowOff>0</xdr:rowOff>
    </xdr:to>
    <xdr:graphicFrame macro="">
      <xdr:nvGraphicFramePr>
        <xdr:cNvPr id="8" name="Chart 7">
          <a:extLst>
            <a:ext uri="{FF2B5EF4-FFF2-40B4-BE49-F238E27FC236}">
              <a16:creationId xmlns:a16="http://schemas.microsoft.com/office/drawing/2014/main" id="{E513DB1E-75FD-44F7-9CAF-CDE2675ED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8.707392939818" createdVersion="8" refreshedVersion="8" minRefreshableVersion="3" recordCount="25" xr:uid="{60D71898-8E15-40B5-B393-1BFE93D1F9D2}">
  <cacheSource type="worksheet">
    <worksheetSource name="Table5"/>
  </cacheSource>
  <cacheFields count="10">
    <cacheField name="Complaint ID" numFmtId="0">
      <sharedItems/>
    </cacheField>
    <cacheField name="Date Received" numFmtId="15">
      <sharedItems containsSemiMixedTypes="0" containsNonDate="0" containsDate="1" containsString="0" minDate="2026-01-03T00:00:00" maxDate="2026-01-16T00:00:00"/>
    </cacheField>
    <cacheField name="Region" numFmtId="0">
      <sharedItems/>
    </cacheField>
    <cacheField name="Customer Segment" numFmtId="0">
      <sharedItems count="3">
        <s v="Retail"/>
        <s v="Corporate"/>
        <s v="Government"/>
      </sharedItems>
    </cacheField>
    <cacheField name="Complaint Category" numFmtId="0">
      <sharedItems count="5">
        <s v="Billing"/>
        <s v="Delivery"/>
        <s v="Product Quality"/>
        <s v="Technical Support"/>
        <s v="Service Delay"/>
      </sharedItems>
    </cacheField>
    <cacheField name="Priority" numFmtId="0">
      <sharedItems count="3">
        <s v="High"/>
        <s v="Medium"/>
        <s v="Low"/>
      </sharedItems>
    </cacheField>
    <cacheField name="Team_ID" numFmtId="0">
      <sharedItems count="5">
        <s v="T01"/>
        <s v="T03"/>
        <s v="T05"/>
        <s v="T02"/>
        <s v="T04"/>
      </sharedItems>
    </cacheField>
    <cacheField name="Resolution Status" numFmtId="0">
      <sharedItems count="3">
        <s v="Closed"/>
        <s v="Pending"/>
        <s v="Open"/>
      </sharedItems>
    </cacheField>
    <cacheField name="Resolution Days" numFmtId="0">
      <sharedItems containsSemiMixedTypes="0" containsString="0" containsNumber="1" containsInteger="1" minValue="1" maxValue="14"/>
    </cacheField>
    <cacheField name="Satisfaction Score" numFmtId="0">
      <sharedItems containsSemiMixedTypes="0" containsString="0" containsNumber="1" containsInteger="1" minValue="1" maxValue="5" count="5">
        <n v="5"/>
        <n v="4"/>
        <n v="2"/>
        <n v="1"/>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C0001"/>
    <d v="2026-01-03T00:00:00"/>
    <s v="North"/>
    <x v="0"/>
    <x v="0"/>
    <x v="0"/>
    <x v="0"/>
    <x v="0"/>
    <n v="2"/>
    <x v="0"/>
  </r>
  <r>
    <s v="C0002"/>
    <d v="2026-01-03T00:00:00"/>
    <s v="South"/>
    <x v="1"/>
    <x v="1"/>
    <x v="1"/>
    <x v="1"/>
    <x v="0"/>
    <n v="5"/>
    <x v="1"/>
  </r>
  <r>
    <s v="C0003"/>
    <d v="2026-01-04T00:00:00"/>
    <s v="East"/>
    <x v="0"/>
    <x v="2"/>
    <x v="0"/>
    <x v="2"/>
    <x v="0"/>
    <n v="8"/>
    <x v="2"/>
  </r>
  <r>
    <s v="C0004"/>
    <d v="2026-01-04T00:00:00"/>
    <s v="West"/>
    <x v="2"/>
    <x v="3"/>
    <x v="2"/>
    <x v="3"/>
    <x v="0"/>
    <n v="1"/>
    <x v="0"/>
  </r>
  <r>
    <s v="C0005"/>
    <d v="2026-01-05T00:00:00"/>
    <s v="Central"/>
    <x v="0"/>
    <x v="4"/>
    <x v="0"/>
    <x v="4"/>
    <x v="1"/>
    <n v="10"/>
    <x v="2"/>
  </r>
  <r>
    <s v="C0006"/>
    <d v="2026-01-05T00:00:00"/>
    <s v="North"/>
    <x v="1"/>
    <x v="1"/>
    <x v="1"/>
    <x v="1"/>
    <x v="0"/>
    <n v="4"/>
    <x v="1"/>
  </r>
  <r>
    <s v="C0007"/>
    <d v="2026-01-06T00:00:00"/>
    <s v="South"/>
    <x v="0"/>
    <x v="0"/>
    <x v="2"/>
    <x v="0"/>
    <x v="0"/>
    <n v="2"/>
    <x v="0"/>
  </r>
  <r>
    <s v="C0008"/>
    <d v="2026-01-06T00:00:00"/>
    <s v="East"/>
    <x v="2"/>
    <x v="3"/>
    <x v="0"/>
    <x v="3"/>
    <x v="2"/>
    <n v="12"/>
    <x v="3"/>
  </r>
  <r>
    <s v="C0009"/>
    <d v="2026-01-07T00:00:00"/>
    <s v="West"/>
    <x v="1"/>
    <x v="2"/>
    <x v="1"/>
    <x v="2"/>
    <x v="0"/>
    <n v="7"/>
    <x v="4"/>
  </r>
  <r>
    <s v="C0010"/>
    <d v="2026-01-07T00:00:00"/>
    <s v="Central"/>
    <x v="0"/>
    <x v="1"/>
    <x v="2"/>
    <x v="1"/>
    <x v="0"/>
    <n v="3"/>
    <x v="0"/>
  </r>
  <r>
    <s v="C0011"/>
    <d v="2026-01-08T00:00:00"/>
    <s v="North"/>
    <x v="2"/>
    <x v="4"/>
    <x v="0"/>
    <x v="4"/>
    <x v="1"/>
    <n v="9"/>
    <x v="2"/>
  </r>
  <r>
    <s v="C0012"/>
    <d v="2026-01-08T00:00:00"/>
    <s v="South"/>
    <x v="0"/>
    <x v="0"/>
    <x v="1"/>
    <x v="0"/>
    <x v="0"/>
    <n v="3"/>
    <x v="1"/>
  </r>
  <r>
    <s v="C0013"/>
    <d v="2026-01-09T00:00:00"/>
    <s v="East"/>
    <x v="1"/>
    <x v="2"/>
    <x v="0"/>
    <x v="2"/>
    <x v="0"/>
    <n v="6"/>
    <x v="4"/>
  </r>
  <r>
    <s v="C0014"/>
    <d v="2026-01-09T00:00:00"/>
    <s v="West"/>
    <x v="0"/>
    <x v="3"/>
    <x v="1"/>
    <x v="3"/>
    <x v="0"/>
    <n v="4"/>
    <x v="1"/>
  </r>
  <r>
    <s v="C0015"/>
    <d v="2026-01-10T00:00:00"/>
    <s v="Central"/>
    <x v="2"/>
    <x v="1"/>
    <x v="0"/>
    <x v="1"/>
    <x v="2"/>
    <n v="11"/>
    <x v="2"/>
  </r>
  <r>
    <s v="C0016"/>
    <d v="2026-01-10T00:00:00"/>
    <s v="North"/>
    <x v="0"/>
    <x v="0"/>
    <x v="1"/>
    <x v="0"/>
    <x v="0"/>
    <n v="2"/>
    <x v="0"/>
  </r>
  <r>
    <s v="C0017"/>
    <d v="2026-01-11T00:00:00"/>
    <s v="South"/>
    <x v="1"/>
    <x v="4"/>
    <x v="0"/>
    <x v="4"/>
    <x v="1"/>
    <n v="13"/>
    <x v="2"/>
  </r>
  <r>
    <s v="C0018"/>
    <d v="2026-01-11T00:00:00"/>
    <s v="East"/>
    <x v="0"/>
    <x v="1"/>
    <x v="2"/>
    <x v="1"/>
    <x v="0"/>
    <n v="3"/>
    <x v="0"/>
  </r>
  <r>
    <s v="C0019"/>
    <d v="2026-01-12T00:00:00"/>
    <s v="West"/>
    <x v="2"/>
    <x v="3"/>
    <x v="0"/>
    <x v="3"/>
    <x v="2"/>
    <n v="14"/>
    <x v="3"/>
  </r>
  <r>
    <s v="C0020"/>
    <d v="2026-01-12T00:00:00"/>
    <s v="Central"/>
    <x v="1"/>
    <x v="2"/>
    <x v="1"/>
    <x v="2"/>
    <x v="0"/>
    <n v="6"/>
    <x v="4"/>
  </r>
  <r>
    <s v="C0021"/>
    <d v="2026-01-13T00:00:00"/>
    <s v="North"/>
    <x v="2"/>
    <x v="1"/>
    <x v="0"/>
    <x v="1"/>
    <x v="0"/>
    <n v="7"/>
    <x v="4"/>
  </r>
  <r>
    <s v="C0022"/>
    <d v="2026-01-13T00:00:00"/>
    <s v="South"/>
    <x v="0"/>
    <x v="0"/>
    <x v="2"/>
    <x v="0"/>
    <x v="0"/>
    <n v="2"/>
    <x v="0"/>
  </r>
  <r>
    <s v="C0023"/>
    <d v="2026-01-14T00:00:00"/>
    <s v="East"/>
    <x v="1"/>
    <x v="2"/>
    <x v="0"/>
    <x v="2"/>
    <x v="0"/>
    <n v="8"/>
    <x v="2"/>
  </r>
  <r>
    <s v="C0024"/>
    <d v="2026-01-14T00:00:00"/>
    <s v="West"/>
    <x v="0"/>
    <x v="4"/>
    <x v="1"/>
    <x v="4"/>
    <x v="0"/>
    <n v="5"/>
    <x v="1"/>
  </r>
  <r>
    <s v="C0025"/>
    <d v="2026-01-15T00:00:00"/>
    <s v="Central"/>
    <x v="2"/>
    <x v="3"/>
    <x v="0"/>
    <x v="3"/>
    <x v="1"/>
    <n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9C1F2C-0747-4D56-B546-D2DB197FF4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0">
    <pivotField showAll="0"/>
    <pivotField numFmtId="15" showAll="0"/>
    <pivotField showAll="0"/>
    <pivotField showAll="0"/>
    <pivotField axis="axisRow" dataField="1" showAll="0">
      <items count="6">
        <item x="0"/>
        <item x="1"/>
        <item x="2"/>
        <item x="4"/>
        <item x="3"/>
        <item t="default"/>
      </items>
    </pivotField>
    <pivotField showAll="0"/>
    <pivotField showAll="0"/>
    <pivotField axis="axisRow" showAll="0">
      <items count="4">
        <item sd="0" x="0"/>
        <item sd="0" x="2"/>
        <item sd="0" x="1"/>
        <item t="default" sd="0"/>
      </items>
    </pivotField>
    <pivotField showAll="0"/>
    <pivotField showAll="0"/>
  </pivotFields>
  <rowFields count="2">
    <field x="7"/>
    <field x="4"/>
  </rowFields>
  <rowItems count="4">
    <i>
      <x/>
    </i>
    <i>
      <x v="1"/>
    </i>
    <i>
      <x v="2"/>
    </i>
    <i t="grand">
      <x/>
    </i>
  </rowItems>
  <colItems count="1">
    <i/>
  </colItems>
  <dataFields count="1">
    <dataField name="Count of Complaint Category" fld="4" subtotal="count" baseField="0" baseItem="0"/>
  </dataFields>
  <formats count="26">
    <format dxfId="104">
      <pivotArea type="all" dataOnly="0" outline="0" fieldPosition="0"/>
    </format>
    <format dxfId="103">
      <pivotArea outline="0" collapsedLevelsAreSubtotals="1" fieldPosition="0"/>
    </format>
    <format dxfId="102">
      <pivotArea field="7" type="button" dataOnly="0" labelOnly="1" outline="0" axis="axisRow" fieldPosition="0"/>
    </format>
    <format dxfId="101">
      <pivotArea dataOnly="0" labelOnly="1" fieldPosition="0">
        <references count="1">
          <reference field="7" count="0"/>
        </references>
      </pivotArea>
    </format>
    <format dxfId="100">
      <pivotArea dataOnly="0" labelOnly="1" grandRow="1" outline="0" fieldPosition="0"/>
    </format>
    <format dxfId="99">
      <pivotArea dataOnly="0" labelOnly="1" fieldPosition="0">
        <references count="2">
          <reference field="4" count="0"/>
          <reference field="7" count="1" selected="0">
            <x v="0"/>
          </reference>
        </references>
      </pivotArea>
    </format>
    <format dxfId="98">
      <pivotArea dataOnly="0" labelOnly="1" fieldPosition="0">
        <references count="2">
          <reference field="4" count="2">
            <x v="1"/>
            <x v="4"/>
          </reference>
          <reference field="7" count="1" selected="0">
            <x v="1"/>
          </reference>
        </references>
      </pivotArea>
    </format>
    <format dxfId="97">
      <pivotArea dataOnly="0" labelOnly="1" fieldPosition="0">
        <references count="2">
          <reference field="4" count="2">
            <x v="3"/>
            <x v="4"/>
          </reference>
          <reference field="7" count="1" selected="0">
            <x v="2"/>
          </reference>
        </references>
      </pivotArea>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7" type="button" dataOnly="0" labelOnly="1" outline="0" axis="axisRow" fieldPosition="0"/>
    </format>
    <format dxfId="92">
      <pivotArea dataOnly="0" labelOnly="1" fieldPosition="0">
        <references count="1">
          <reference field="7" count="0"/>
        </references>
      </pivotArea>
    </format>
    <format dxfId="91">
      <pivotArea dataOnly="0" labelOnly="1" grandRow="1" outline="0" fieldPosition="0"/>
    </format>
    <format dxfId="90">
      <pivotArea dataOnly="0" labelOnly="1" fieldPosition="0">
        <references count="2">
          <reference field="4" count="0"/>
          <reference field="7" count="1" selected="0">
            <x v="0"/>
          </reference>
        </references>
      </pivotArea>
    </format>
    <format dxfId="89">
      <pivotArea dataOnly="0" labelOnly="1" fieldPosition="0">
        <references count="2">
          <reference field="4" count="2">
            <x v="1"/>
            <x v="4"/>
          </reference>
          <reference field="7" count="1" selected="0">
            <x v="1"/>
          </reference>
        </references>
      </pivotArea>
    </format>
    <format dxfId="88">
      <pivotArea dataOnly="0" labelOnly="1" fieldPosition="0">
        <references count="2">
          <reference field="4" count="2">
            <x v="3"/>
            <x v="4"/>
          </reference>
          <reference field="7" count="1" selected="0">
            <x v="2"/>
          </reference>
        </references>
      </pivotArea>
    </format>
    <format dxfId="87">
      <pivotArea dataOnly="0" labelOnly="1" outline="0" axis="axisValues" fieldPosition="0"/>
    </format>
    <format dxfId="86">
      <pivotArea outline="0" collapsedLevelsAreSubtotals="1" fieldPosition="0"/>
    </format>
    <format dxfId="85">
      <pivotArea collapsedLevelsAreSubtotals="1" fieldPosition="0">
        <references count="1">
          <reference field="7" count="1">
            <x v="0"/>
          </reference>
        </references>
      </pivotArea>
    </format>
    <format dxfId="84">
      <pivotArea dataOnly="0" labelOnly="1" fieldPosition="0">
        <references count="1">
          <reference field="7" count="1">
            <x v="0"/>
          </reference>
        </references>
      </pivotArea>
    </format>
    <format dxfId="83">
      <pivotArea collapsedLevelsAreSubtotals="1" fieldPosition="0">
        <references count="1">
          <reference field="7" count="1">
            <x v="1"/>
          </reference>
        </references>
      </pivotArea>
    </format>
    <format dxfId="82">
      <pivotArea dataOnly="0" labelOnly="1" fieldPosition="0">
        <references count="1">
          <reference field="7" count="1">
            <x v="1"/>
          </reference>
        </references>
      </pivotArea>
    </format>
    <format dxfId="81">
      <pivotArea collapsedLevelsAreSubtotals="1" fieldPosition="0">
        <references count="1">
          <reference field="7" count="1">
            <x v="2"/>
          </reference>
        </references>
      </pivotArea>
    </format>
    <format dxfId="80">
      <pivotArea dataOnly="0" labelOnly="1" fieldPosition="0">
        <references count="1">
          <reference field="7" count="1">
            <x v="2"/>
          </reference>
        </references>
      </pivotArea>
    </format>
    <format dxfId="79">
      <pivotArea dataOnly="0" fieldPosition="0">
        <references count="1">
          <reference field="7" count="1">
            <x v="0"/>
          </reference>
        </references>
      </pivotArea>
    </format>
  </formats>
  <chartFormats count="3">
    <chartFormat chart="1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8850B-0AAF-4DCE-81C2-A4750F2F84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showAll="0"/>
    <pivotField numFmtId="15" showAll="0"/>
    <pivotField showAll="0"/>
    <pivotField showAll="0"/>
    <pivotField axis="axisRow" dataField="1" showAll="0">
      <items count="6">
        <item x="0"/>
        <item x="1"/>
        <item x="2"/>
        <item x="4"/>
        <item x="3"/>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Complaint Category" fld="4" subtotal="count" baseField="0" baseItem="0"/>
  </dataFields>
  <formats count="13">
    <format dxfId="78">
      <pivotArea type="all" dataOnly="0" outline="0" fieldPosition="0"/>
    </format>
    <format dxfId="77">
      <pivotArea outline="0" collapsedLevelsAreSubtotals="1" fieldPosition="0"/>
    </format>
    <format dxfId="76">
      <pivotArea field="4" type="button" dataOnly="0" labelOnly="1" outline="0" axis="axisRow" fieldPosition="0"/>
    </format>
    <format dxfId="75">
      <pivotArea dataOnly="0" labelOnly="1" fieldPosition="0">
        <references count="1">
          <reference field="4"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grandRow="1" outline="0" fieldPosition="0"/>
    </format>
    <format dxfId="67">
      <pivotArea dataOnly="0" labelOnly="1" outline="0" axis="axisValues" fieldPosition="0"/>
    </format>
    <format dxfId="66">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D4F145-064B-4481-A717-16156DD1CB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G8" firstHeaderRow="1" firstDataRow="2" firstDataCol="1"/>
  <pivotFields count="10">
    <pivotField showAll="0"/>
    <pivotField numFmtId="15" showAll="0"/>
    <pivotField showAll="0"/>
    <pivotField showAll="0">
      <items count="4">
        <item x="1"/>
        <item x="2"/>
        <item x="0"/>
        <item t="default"/>
      </items>
    </pivotField>
    <pivotField axis="axisCol" showAll="0">
      <items count="6">
        <item x="0"/>
        <item x="1"/>
        <item x="2"/>
        <item x="4"/>
        <item x="3"/>
        <item t="default"/>
      </items>
    </pivotField>
    <pivotField axis="axisRow" showAll="0">
      <items count="4">
        <item sd="0" x="0"/>
        <item sd="0" x="2"/>
        <item sd="0" x="1"/>
        <item t="default" sd="0"/>
      </items>
    </pivotField>
    <pivotField showAll="0"/>
    <pivotField axis="axisRow" dataField="1" showAll="0">
      <items count="4">
        <item x="0"/>
        <item x="2"/>
        <item x="1"/>
        <item t="default"/>
      </items>
    </pivotField>
    <pivotField showAll="0"/>
    <pivotField showAll="0">
      <items count="6">
        <item x="3"/>
        <item x="2"/>
        <item x="4"/>
        <item x="1"/>
        <item x="0"/>
        <item t="default"/>
      </items>
    </pivotField>
  </pivotFields>
  <rowFields count="2">
    <field x="5"/>
    <field x="7"/>
  </rowFields>
  <rowItems count="4">
    <i>
      <x/>
    </i>
    <i>
      <x v="1"/>
    </i>
    <i>
      <x v="2"/>
    </i>
    <i t="grand">
      <x/>
    </i>
  </rowItems>
  <colFields count="1">
    <field x="4"/>
  </colFields>
  <colItems count="6">
    <i>
      <x/>
    </i>
    <i>
      <x v="1"/>
    </i>
    <i>
      <x v="2"/>
    </i>
    <i>
      <x v="3"/>
    </i>
    <i>
      <x v="4"/>
    </i>
    <i t="grand">
      <x/>
    </i>
  </colItems>
  <dataFields count="1">
    <dataField name="Count of Resolution Status" fld="7" subtotal="count" baseField="0" baseItem="0"/>
  </dataFields>
  <formats count="32">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fieldPosition="0">
        <references count="2">
          <reference field="5" count="1" selected="0">
            <x v="0"/>
          </reference>
          <reference field="7" count="0"/>
        </references>
      </pivotArea>
    </format>
    <format dxfId="59">
      <pivotArea dataOnly="0" labelOnly="1" fieldPosition="0">
        <references count="2">
          <reference field="5" count="1" selected="0">
            <x v="1"/>
          </reference>
          <reference field="7" count="1">
            <x v="0"/>
          </reference>
        </references>
      </pivotArea>
    </format>
    <format dxfId="58">
      <pivotArea dataOnly="0" labelOnly="1" fieldPosition="0">
        <references count="2">
          <reference field="5" count="1" selected="0">
            <x v="2"/>
          </reference>
          <reference field="7" count="1">
            <x v="0"/>
          </reference>
        </references>
      </pivotArea>
    </format>
    <format dxfId="57">
      <pivotArea dataOnly="0" labelOnly="1" outline="0" axis="axisValues" fieldPosition="0"/>
    </format>
    <format dxfId="56">
      <pivotArea outline="0" collapsedLevelsAreSubtotals="1" fieldPosition="0"/>
    </format>
    <format dxfId="55">
      <pivotArea outline="0" collapsedLevelsAreSubtotals="1" fieldPosition="0"/>
    </format>
    <format dxfId="54">
      <pivotArea collapsedLevelsAreSubtotals="1" fieldPosition="0">
        <references count="1">
          <reference field="5" count="1">
            <x v="0"/>
          </reference>
        </references>
      </pivotArea>
    </format>
    <format dxfId="53">
      <pivotArea dataOnly="0" labelOnly="1" fieldPosition="0">
        <references count="1">
          <reference field="5" count="1">
            <x v="0"/>
          </reference>
        </references>
      </pivotArea>
    </format>
    <format dxfId="52">
      <pivotArea collapsedLevelsAreSubtotals="1" fieldPosition="0">
        <references count="1">
          <reference field="5" count="1">
            <x v="1"/>
          </reference>
        </references>
      </pivotArea>
    </format>
    <format dxfId="51">
      <pivotArea dataOnly="0" labelOnly="1" fieldPosition="0">
        <references count="1">
          <reference field="5" count="1">
            <x v="1"/>
          </reference>
        </references>
      </pivotArea>
    </format>
    <format dxfId="50">
      <pivotArea collapsedLevelsAreSubtotals="1" fieldPosition="0">
        <references count="1">
          <reference field="5" count="1">
            <x v="2"/>
          </reference>
        </references>
      </pivotArea>
    </format>
    <format dxfId="49">
      <pivotArea dataOnly="0" labelOnly="1" fieldPosition="0">
        <references count="1">
          <reference field="5" count="1">
            <x v="2"/>
          </reference>
        </references>
      </pivotArea>
    </format>
    <format dxfId="48">
      <pivotArea collapsedLevelsAreSubtotals="1" fieldPosition="0">
        <references count="1">
          <reference field="5" count="1">
            <x v="2"/>
          </reference>
        </references>
      </pivotArea>
    </format>
    <format dxfId="47">
      <pivotArea dataOnly="0" labelOnly="1" fieldPosition="0">
        <references count="1">
          <reference field="5" count="1">
            <x v="2"/>
          </reference>
        </references>
      </pivotArea>
    </format>
    <format dxfId="46">
      <pivotArea dataOnly="0" fieldPosition="0">
        <references count="1">
          <reference field="5" count="1">
            <x v="1"/>
          </reference>
        </references>
      </pivotArea>
    </format>
    <format dxfId="45">
      <pivotArea collapsedLevelsAreSubtotals="1" fieldPosition="0">
        <references count="2">
          <reference field="5" count="1" selected="0">
            <x v="0"/>
          </reference>
          <reference field="7" count="1">
            <x v="1"/>
          </reference>
        </references>
      </pivotArea>
    </format>
    <format dxfId="44">
      <pivotArea dataOnly="0" labelOnly="1" fieldPosition="0">
        <references count="2">
          <reference field="5" count="1" selected="0">
            <x v="0"/>
          </reference>
          <reference field="7" count="1">
            <x v="1"/>
          </reference>
        </references>
      </pivotArea>
    </format>
    <format dxfId="43">
      <pivotArea collapsedLevelsAreSubtotals="1" fieldPosition="0">
        <references count="2">
          <reference field="5" count="1" selected="0">
            <x v="0"/>
          </reference>
          <reference field="7" count="1">
            <x v="1"/>
          </reference>
        </references>
      </pivotArea>
    </format>
    <format dxfId="42">
      <pivotArea dataOnly="0" labelOnly="1" fieldPosition="0">
        <references count="2">
          <reference field="5" count="1" selected="0">
            <x v="0"/>
          </reference>
          <reference field="7" count="1">
            <x v="1"/>
          </reference>
        </references>
      </pivotArea>
    </format>
    <format dxfId="41">
      <pivotArea collapsedLevelsAreSubtotals="1" fieldPosition="0">
        <references count="2">
          <reference field="5" count="1" selected="0">
            <x v="0"/>
          </reference>
          <reference field="7" count="1">
            <x v="2"/>
          </reference>
        </references>
      </pivotArea>
    </format>
    <format dxfId="40">
      <pivotArea dataOnly="0" labelOnly="1" fieldPosition="0">
        <references count="2">
          <reference field="5" count="1" selected="0">
            <x v="0"/>
          </reference>
          <reference field="7" count="1">
            <x v="2"/>
          </reference>
        </references>
      </pivotArea>
    </format>
    <format dxfId="39">
      <pivotArea collapsedLevelsAreSubtotals="1" fieldPosition="0">
        <references count="2">
          <reference field="5" count="1" selected="0">
            <x v="0"/>
          </reference>
          <reference field="7" count="1">
            <x v="2"/>
          </reference>
        </references>
      </pivotArea>
    </format>
    <format dxfId="38">
      <pivotArea dataOnly="0" labelOnly="1" fieldPosition="0">
        <references count="2">
          <reference field="5" count="1" selected="0">
            <x v="0"/>
          </reference>
          <reference field="7" count="1">
            <x v="2"/>
          </reference>
        </references>
      </pivotArea>
    </format>
    <format dxfId="37">
      <pivotArea collapsedLevelsAreSubtotals="1" fieldPosition="0">
        <references count="2">
          <reference field="5" count="1" selected="0">
            <x v="0"/>
          </reference>
          <reference field="7" count="2">
            <x v="1"/>
            <x v="2"/>
          </reference>
        </references>
      </pivotArea>
    </format>
    <format dxfId="36">
      <pivotArea dataOnly="0" labelOnly="1" fieldPosition="0">
        <references count="2">
          <reference field="5" count="1" selected="0">
            <x v="0"/>
          </reference>
          <reference field="7" count="2">
            <x v="1"/>
            <x v="2"/>
          </reference>
        </references>
      </pivotArea>
    </format>
    <format dxfId="35">
      <pivotArea collapsedLevelsAreSubtotals="1" fieldPosition="0">
        <references count="2">
          <reference field="5" count="1" selected="0">
            <x v="0"/>
          </reference>
          <reference field="7" count="2">
            <x v="1"/>
            <x v="2"/>
          </reference>
        </references>
      </pivotArea>
    </format>
    <format dxfId="34">
      <pivotArea dataOnly="0" labelOnly="1" fieldPosition="0">
        <references count="2">
          <reference field="5" count="1" selected="0">
            <x v="0"/>
          </reference>
          <reference field="7" count="2">
            <x v="1"/>
            <x v="2"/>
          </reference>
        </references>
      </pivotArea>
    </format>
  </formats>
  <chartFormats count="11">
    <chartFormat chart="11" format="0"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2">
          <reference field="4294967294" count="1" selected="0">
            <x v="0"/>
          </reference>
          <reference field="4" count="1" selected="0">
            <x v="3"/>
          </reference>
        </references>
      </pivotArea>
    </chartFormat>
    <chartFormat chart="11" format="6" series="1">
      <pivotArea type="data" outline="0" fieldPosition="0">
        <references count="2">
          <reference field="4294967294" count="1" selected="0">
            <x v="0"/>
          </reference>
          <reference field="4" count="1" selected="0">
            <x v="4"/>
          </reference>
        </references>
      </pivotArea>
    </chartFormat>
    <chartFormat chart="11" format="7" series="1">
      <pivotArea type="data" outline="0" fieldPosition="0">
        <references count="2">
          <reference field="4294967294" count="1" selected="0">
            <x v="0"/>
          </reference>
          <reference field="4" count="1" selected="0">
            <x v="0"/>
          </reference>
        </references>
      </pivotArea>
    </chartFormat>
    <chartFormat chart="29" format="13" series="1">
      <pivotArea type="data" outline="0" fieldPosition="0">
        <references count="2">
          <reference field="4294967294" count="1" selected="0">
            <x v="0"/>
          </reference>
          <reference field="4" count="1" selected="0">
            <x v="0"/>
          </reference>
        </references>
      </pivotArea>
    </chartFormat>
    <chartFormat chart="29" format="14" series="1">
      <pivotArea type="data" outline="0" fieldPosition="0">
        <references count="2">
          <reference field="4294967294" count="1" selected="0">
            <x v="0"/>
          </reference>
          <reference field="4" count="1" selected="0">
            <x v="1"/>
          </reference>
        </references>
      </pivotArea>
    </chartFormat>
    <chartFormat chart="29" format="15" series="1">
      <pivotArea type="data" outline="0" fieldPosition="0">
        <references count="2">
          <reference field="4294967294" count="1" selected="0">
            <x v="0"/>
          </reference>
          <reference field="4" count="1" selected="0">
            <x v="2"/>
          </reference>
        </references>
      </pivotArea>
    </chartFormat>
    <chartFormat chart="29" format="16" series="1">
      <pivotArea type="data" outline="0" fieldPosition="0">
        <references count="2">
          <reference field="4294967294" count="1" selected="0">
            <x v="0"/>
          </reference>
          <reference field="4" count="1" selected="0">
            <x v="3"/>
          </reference>
        </references>
      </pivotArea>
    </chartFormat>
    <chartFormat chart="29" format="17"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15442C-6600-4403-A8BD-E176DD34E6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0">
    <pivotField showAll="0"/>
    <pivotField numFmtId="15" showAll="0"/>
    <pivotField showAll="0"/>
    <pivotField showAll="0"/>
    <pivotField axis="axisRow" showAll="0">
      <items count="6">
        <item x="0"/>
        <item x="1"/>
        <item x="2"/>
        <item x="4"/>
        <item x="3"/>
        <item t="default"/>
      </items>
    </pivotField>
    <pivotField showAll="0"/>
    <pivotField showAll="0"/>
    <pivotField showAll="0"/>
    <pivotField showAll="0"/>
    <pivotField dataField="1" showAll="0"/>
  </pivotFields>
  <rowFields count="1">
    <field x="4"/>
  </rowFields>
  <rowItems count="6">
    <i>
      <x/>
    </i>
    <i>
      <x v="1"/>
    </i>
    <i>
      <x v="2"/>
    </i>
    <i>
      <x v="3"/>
    </i>
    <i>
      <x v="4"/>
    </i>
    <i t="grand">
      <x/>
    </i>
  </rowItems>
  <colItems count="1">
    <i/>
  </colItems>
  <dataFields count="1">
    <dataField name="Average of Satisfaction Score" fld="9" subtotal="average" baseField="4" baseItem="0"/>
  </dataFields>
  <formats count="7">
    <format dxfId="33">
      <pivotArea collapsedLevelsAreSubtotals="1" fieldPosition="0">
        <references count="1">
          <reference field="4" count="1">
            <x v="1"/>
          </reference>
        </references>
      </pivotArea>
    </format>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D3881F-4A39-4BD6-B3D5-3BBFEB204D99}" name="Table6" displayName="Table6" ref="A1:G6" totalsRowShown="0" headerRowDxfId="26" dataDxfId="24" headerRowBorderDxfId="25" tableBorderDxfId="23" totalsRowBorderDxfId="22">
  <autoFilter ref="A1:G6" xr:uid="{A5D3881F-4A39-4BD6-B3D5-3BBFEB204D99}"/>
  <tableColumns count="7">
    <tableColumn id="1" xr3:uid="{41EF78CB-6C60-4B5B-9F53-0EA02A4E3A45}" name="Team ID" dataDxfId="21"/>
    <tableColumn id="2" xr3:uid="{E3C11253-3C4E-44E3-861A-FB5CBEFFE139}" name="Team Name" dataDxfId="20"/>
    <tableColumn id="3" xr3:uid="{CB54DA22-9ADD-48BE-B77A-71A94A465DB7}" name="Team Leader" dataDxfId="19"/>
    <tableColumn id="4" xr3:uid="{EBABE998-A1B7-404B-87A3-A0EE72645ECB}" name="Department" dataDxfId="18"/>
    <tableColumn id="5" xr3:uid="{BA64841B-13CC-492E-85E6-D771EE4EB9FF}" name="Region" dataDxfId="17"/>
    <tableColumn id="6" xr3:uid="{0BF44A06-8A7D-4BC5-A0DB-84873C0FD743}" name="Staff Count" dataDxfId="16"/>
    <tableColumn id="7" xr3:uid="{32779447-3A9A-4585-B2B0-39272271DBB2}" name="Avg Experience Years"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83FF14-BE09-4138-BE8F-870A5661F8C2}" name="Table5" displayName="Table5" ref="A1:J26" totalsRowShown="0" headerRowDxfId="14" dataDxfId="12" headerRowBorderDxfId="13" tableBorderDxfId="11" totalsRowBorderDxfId="10">
  <autoFilter ref="A1:J26" xr:uid="{1F83FF14-BE09-4138-BE8F-870A5661F8C2}"/>
  <sortState xmlns:xlrd2="http://schemas.microsoft.com/office/spreadsheetml/2017/richdata2" ref="A2:J26">
    <sortCondition ref="A1:A26"/>
  </sortState>
  <tableColumns count="10">
    <tableColumn id="1" xr3:uid="{000F62A5-D887-40DE-90EE-27C32C7C16FD}" name="Complaint ID" dataDxfId="9"/>
    <tableColumn id="2" xr3:uid="{2FDF75E9-04A0-439C-A641-91D53CB79F73}" name="Date Received" dataDxfId="8"/>
    <tableColumn id="3" xr3:uid="{5BB391FB-C3E1-4065-9FA0-21C6B90B4CFF}" name="Region" dataDxfId="7"/>
    <tableColumn id="4" xr3:uid="{DBF52358-7C79-47FE-8CB7-8728CE9413DA}" name="Customer Segment" dataDxfId="6"/>
    <tableColumn id="5" xr3:uid="{C320917F-34B2-40B6-8AED-E3A1E4ADA261}" name="Complaint Category" dataDxfId="5"/>
    <tableColumn id="6" xr3:uid="{D2B752A1-3407-4FEA-97D3-798A51033731}" name="Priority" dataDxfId="4"/>
    <tableColumn id="7" xr3:uid="{65A829BC-7B9E-4BD0-8D13-8FB939EF1F9A}" name="Team_ID" dataDxfId="3"/>
    <tableColumn id="8" xr3:uid="{0F96E0BB-2C23-4C0F-8FCF-AE65A90CFDBD}" name="Resolution Status" dataDxfId="2"/>
    <tableColumn id="9" xr3:uid="{C2C792E7-664E-4FA4-BA82-AB7A5D4509C6}" name="Resolution Days" dataDxfId="1"/>
    <tableColumn id="10" xr3:uid="{09AC4B6C-70A1-4B60-B3D2-DC978B46489A}" name="Satisfaction 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C7D4-0D16-406C-B4D3-A4B710EBFCFC}">
  <dimension ref="A3:B7"/>
  <sheetViews>
    <sheetView zoomScale="89" zoomScaleNormal="89" workbookViewId="0">
      <selection activeCell="S23" sqref="S23"/>
    </sheetView>
  </sheetViews>
  <sheetFormatPr defaultRowHeight="14.4" x14ac:dyDescent="0.3"/>
  <cols>
    <col min="1" max="1" width="14" bestFit="1" customWidth="1"/>
    <col min="2" max="2" width="28.109375" bestFit="1" customWidth="1"/>
  </cols>
  <sheetData>
    <row r="3" spans="1:2" ht="15.6" x14ac:dyDescent="0.3">
      <c r="A3" s="38" t="s">
        <v>161</v>
      </c>
      <c r="B3" s="39" t="s">
        <v>163</v>
      </c>
    </row>
    <row r="4" spans="1:2" ht="15.6" x14ac:dyDescent="0.3">
      <c r="A4" s="58" t="s">
        <v>22</v>
      </c>
      <c r="B4" s="59">
        <v>18</v>
      </c>
    </row>
    <row r="5" spans="1:2" ht="15.6" x14ac:dyDescent="0.3">
      <c r="A5" s="42" t="s">
        <v>47</v>
      </c>
      <c r="B5" s="43">
        <v>3</v>
      </c>
    </row>
    <row r="6" spans="1:2" ht="15.6" x14ac:dyDescent="0.3">
      <c r="A6" s="42" t="s">
        <v>43</v>
      </c>
      <c r="B6" s="43">
        <v>4</v>
      </c>
    </row>
    <row r="7" spans="1:2" ht="15.6" x14ac:dyDescent="0.3">
      <c r="A7" s="40" t="s">
        <v>162</v>
      </c>
      <c r="B7" s="41">
        <v>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BE39-3445-407C-A49F-DC030CCBB5B7}">
  <dimension ref="A3:B9"/>
  <sheetViews>
    <sheetView workbookViewId="0">
      <selection activeCell="Q10" sqref="Q10"/>
    </sheetView>
  </sheetViews>
  <sheetFormatPr defaultRowHeight="14.4" x14ac:dyDescent="0.3"/>
  <cols>
    <col min="1" max="1" width="15.44140625" bestFit="1" customWidth="1"/>
    <col min="2" max="2" width="27" customWidth="1"/>
  </cols>
  <sheetData>
    <row r="3" spans="1:2" x14ac:dyDescent="0.3">
      <c r="A3" s="47" t="s">
        <v>161</v>
      </c>
      <c r="B3" s="48" t="s">
        <v>163</v>
      </c>
    </row>
    <row r="4" spans="1:2" x14ac:dyDescent="0.3">
      <c r="A4" s="49" t="s">
        <v>19</v>
      </c>
      <c r="B4" s="50">
        <v>5</v>
      </c>
    </row>
    <row r="5" spans="1:2" x14ac:dyDescent="0.3">
      <c r="A5" s="49" t="s">
        <v>26</v>
      </c>
      <c r="B5" s="50">
        <v>6</v>
      </c>
    </row>
    <row r="6" spans="1:2" x14ac:dyDescent="0.3">
      <c r="A6" s="49" t="s">
        <v>31</v>
      </c>
      <c r="B6" s="50">
        <v>5</v>
      </c>
    </row>
    <row r="7" spans="1:2" x14ac:dyDescent="0.3">
      <c r="A7" s="49" t="s">
        <v>41</v>
      </c>
      <c r="B7" s="50">
        <v>4</v>
      </c>
    </row>
    <row r="8" spans="1:2" x14ac:dyDescent="0.3">
      <c r="A8" s="49" t="s">
        <v>36</v>
      </c>
      <c r="B8" s="50">
        <v>5</v>
      </c>
    </row>
    <row r="9" spans="1:2" x14ac:dyDescent="0.3">
      <c r="A9" s="49" t="s">
        <v>162</v>
      </c>
      <c r="B9" s="50">
        <v>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9C35-0EF3-4A76-A5D7-0148AE0C9001}">
  <dimension ref="A3:G8"/>
  <sheetViews>
    <sheetView workbookViewId="0">
      <selection activeCell="D16" sqref="D16"/>
    </sheetView>
  </sheetViews>
  <sheetFormatPr defaultRowHeight="14.4" x14ac:dyDescent="0.3"/>
  <cols>
    <col min="1" max="1" width="22.88671875" bestFit="1" customWidth="1"/>
    <col min="2" max="2" width="15.5546875" bestFit="1" customWidth="1"/>
    <col min="3" max="3" width="7.6640625" bestFit="1" customWidth="1"/>
    <col min="4" max="4" width="14" bestFit="1" customWidth="1"/>
    <col min="5" max="5" width="12.33203125" bestFit="1" customWidth="1"/>
    <col min="6" max="6" width="16.109375" bestFit="1" customWidth="1"/>
    <col min="7" max="7" width="10.5546875" bestFit="1" customWidth="1"/>
  </cols>
  <sheetData>
    <row r="3" spans="1:7" x14ac:dyDescent="0.3">
      <c r="A3" s="44" t="s">
        <v>164</v>
      </c>
      <c r="B3" s="44" t="s">
        <v>165</v>
      </c>
      <c r="C3" s="45"/>
      <c r="D3" s="45"/>
      <c r="E3" s="45"/>
      <c r="F3" s="45"/>
      <c r="G3" s="45"/>
    </row>
    <row r="4" spans="1:7" x14ac:dyDescent="0.3">
      <c r="A4" s="44" t="s">
        <v>161</v>
      </c>
      <c r="B4" s="45" t="s">
        <v>19</v>
      </c>
      <c r="C4" s="45" t="s">
        <v>26</v>
      </c>
      <c r="D4" s="45" t="s">
        <v>31</v>
      </c>
      <c r="E4" s="45" t="s">
        <v>41</v>
      </c>
      <c r="F4" s="45" t="s">
        <v>36</v>
      </c>
      <c r="G4" s="45" t="s">
        <v>162</v>
      </c>
    </row>
    <row r="5" spans="1:7" x14ac:dyDescent="0.3">
      <c r="A5" s="51" t="s">
        <v>20</v>
      </c>
      <c r="B5" s="52">
        <v>1</v>
      </c>
      <c r="C5" s="52">
        <v>2</v>
      </c>
      <c r="D5" s="52">
        <v>3</v>
      </c>
      <c r="E5" s="52">
        <v>3</v>
      </c>
      <c r="F5" s="52">
        <v>3</v>
      </c>
      <c r="G5" s="52">
        <v>12</v>
      </c>
    </row>
    <row r="6" spans="1:7" x14ac:dyDescent="0.3">
      <c r="A6" s="55" t="s">
        <v>37</v>
      </c>
      <c r="B6" s="56">
        <v>2</v>
      </c>
      <c r="C6" s="56">
        <v>2</v>
      </c>
      <c r="D6" s="56"/>
      <c r="E6" s="56"/>
      <c r="F6" s="56">
        <v>1</v>
      </c>
      <c r="G6" s="56">
        <v>5</v>
      </c>
    </row>
    <row r="7" spans="1:7" x14ac:dyDescent="0.3">
      <c r="A7" s="53" t="s">
        <v>27</v>
      </c>
      <c r="B7" s="54">
        <v>2</v>
      </c>
      <c r="C7" s="54">
        <v>2</v>
      </c>
      <c r="D7" s="54">
        <v>2</v>
      </c>
      <c r="E7" s="54">
        <v>1</v>
      </c>
      <c r="F7" s="54">
        <v>1</v>
      </c>
      <c r="G7" s="54">
        <v>8</v>
      </c>
    </row>
    <row r="8" spans="1:7" x14ac:dyDescent="0.3">
      <c r="A8" s="46" t="s">
        <v>162</v>
      </c>
      <c r="B8" s="50">
        <v>5</v>
      </c>
      <c r="C8" s="50">
        <v>6</v>
      </c>
      <c r="D8" s="50">
        <v>5</v>
      </c>
      <c r="E8" s="50">
        <v>4</v>
      </c>
      <c r="F8" s="50">
        <v>5</v>
      </c>
      <c r="G8" s="50">
        <v>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C03E-6CEB-4021-B255-456D2E03A89D}">
  <dimension ref="A3:B9"/>
  <sheetViews>
    <sheetView workbookViewId="0">
      <selection activeCell="M13" sqref="M13"/>
    </sheetView>
  </sheetViews>
  <sheetFormatPr defaultRowHeight="14.4" x14ac:dyDescent="0.3"/>
  <cols>
    <col min="1" max="1" width="15.44140625" bestFit="1" customWidth="1"/>
    <col min="2" max="2" width="25.33203125" bestFit="1" customWidth="1"/>
  </cols>
  <sheetData>
    <row r="3" spans="1:2" x14ac:dyDescent="0.3">
      <c r="A3" s="44" t="s">
        <v>161</v>
      </c>
      <c r="B3" s="45" t="s">
        <v>176</v>
      </c>
    </row>
    <row r="4" spans="1:2" x14ac:dyDescent="0.3">
      <c r="A4" s="46" t="s">
        <v>19</v>
      </c>
      <c r="B4" s="45">
        <v>4.8</v>
      </c>
    </row>
    <row r="5" spans="1:2" x14ac:dyDescent="0.3">
      <c r="A5" s="46" t="s">
        <v>26</v>
      </c>
      <c r="B5" s="61">
        <v>3.8333333333333335</v>
      </c>
    </row>
    <row r="6" spans="1:2" x14ac:dyDescent="0.3">
      <c r="A6" s="46" t="s">
        <v>31</v>
      </c>
      <c r="B6" s="45">
        <v>2.6</v>
      </c>
    </row>
    <row r="7" spans="1:2" x14ac:dyDescent="0.3">
      <c r="A7" s="46" t="s">
        <v>41</v>
      </c>
      <c r="B7" s="45">
        <v>2.5</v>
      </c>
    </row>
    <row r="8" spans="1:2" x14ac:dyDescent="0.3">
      <c r="A8" s="46" t="s">
        <v>36</v>
      </c>
      <c r="B8" s="45">
        <v>2.6</v>
      </c>
    </row>
    <row r="9" spans="1:2" x14ac:dyDescent="0.3">
      <c r="A9" s="46" t="s">
        <v>162</v>
      </c>
      <c r="B9" s="45">
        <v>3.32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B7C5-A943-478A-BFFF-1CED3483196A}">
  <dimension ref="A1:G6"/>
  <sheetViews>
    <sheetView workbookViewId="0">
      <selection activeCell="F13" sqref="F13"/>
    </sheetView>
  </sheetViews>
  <sheetFormatPr defaultRowHeight="14.4" x14ac:dyDescent="0.3"/>
  <cols>
    <col min="1" max="1" width="11.6640625" customWidth="1"/>
    <col min="2" max="2" width="18.109375" customWidth="1"/>
    <col min="3" max="3" width="16.88671875" customWidth="1"/>
    <col min="4" max="4" width="14.6640625" customWidth="1"/>
    <col min="5" max="5" width="10.6640625" customWidth="1"/>
    <col min="6" max="6" width="12" customWidth="1"/>
    <col min="7" max="7" width="12.88671875" customWidth="1"/>
  </cols>
  <sheetData>
    <row r="1" spans="1:7" s="18" customFormat="1" ht="43.2" x14ac:dyDescent="0.3">
      <c r="A1" s="2" t="s">
        <v>10</v>
      </c>
      <c r="B1" s="3" t="s">
        <v>11</v>
      </c>
      <c r="C1" s="3" t="s">
        <v>12</v>
      </c>
      <c r="D1" s="3" t="s">
        <v>13</v>
      </c>
      <c r="E1" s="3" t="s">
        <v>0</v>
      </c>
      <c r="F1" s="3" t="s">
        <v>14</v>
      </c>
      <c r="G1" s="4" t="s">
        <v>15</v>
      </c>
    </row>
    <row r="2" spans="1:7" ht="28.8" x14ac:dyDescent="0.3">
      <c r="A2" s="19" t="s">
        <v>21</v>
      </c>
      <c r="B2" s="5" t="s">
        <v>84</v>
      </c>
      <c r="C2" s="5" t="s">
        <v>85</v>
      </c>
      <c r="D2" s="5" t="s">
        <v>86</v>
      </c>
      <c r="E2" s="5" t="s">
        <v>87</v>
      </c>
      <c r="F2" s="5">
        <v>12</v>
      </c>
      <c r="G2" s="20">
        <v>6</v>
      </c>
    </row>
    <row r="3" spans="1:7" ht="28.8" x14ac:dyDescent="0.3">
      <c r="A3" s="19" t="s">
        <v>38</v>
      </c>
      <c r="B3" s="5" t="s">
        <v>36</v>
      </c>
      <c r="C3" s="5" t="s">
        <v>88</v>
      </c>
      <c r="D3" s="5" t="s">
        <v>89</v>
      </c>
      <c r="E3" s="5" t="s">
        <v>87</v>
      </c>
      <c r="F3" s="5">
        <v>10</v>
      </c>
      <c r="G3" s="20">
        <v>5</v>
      </c>
    </row>
    <row r="4" spans="1:7" x14ac:dyDescent="0.3">
      <c r="A4" s="19" t="s">
        <v>28</v>
      </c>
      <c r="B4" s="5" t="s">
        <v>90</v>
      </c>
      <c r="C4" s="5" t="s">
        <v>91</v>
      </c>
      <c r="D4" s="5" t="s">
        <v>92</v>
      </c>
      <c r="E4" s="5" t="s">
        <v>87</v>
      </c>
      <c r="F4" s="5">
        <v>14</v>
      </c>
      <c r="G4" s="20">
        <v>7</v>
      </c>
    </row>
    <row r="5" spans="1:7" ht="28.8" x14ac:dyDescent="0.3">
      <c r="A5" s="19" t="s">
        <v>42</v>
      </c>
      <c r="B5" s="5" t="s">
        <v>93</v>
      </c>
      <c r="C5" s="5" t="s">
        <v>94</v>
      </c>
      <c r="D5" s="5" t="s">
        <v>95</v>
      </c>
      <c r="E5" s="5" t="s">
        <v>87</v>
      </c>
      <c r="F5" s="5">
        <v>8</v>
      </c>
      <c r="G5" s="20">
        <v>4</v>
      </c>
    </row>
    <row r="6" spans="1:7" ht="28.8" x14ac:dyDescent="0.3">
      <c r="A6" s="21" t="s">
        <v>32</v>
      </c>
      <c r="B6" s="14" t="s">
        <v>31</v>
      </c>
      <c r="C6" s="14" t="s">
        <v>96</v>
      </c>
      <c r="D6" s="14" t="s">
        <v>97</v>
      </c>
      <c r="E6" s="14" t="s">
        <v>87</v>
      </c>
      <c r="F6" s="14">
        <v>9</v>
      </c>
      <c r="G6" s="22">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DCCE-8B1D-4FC7-BDF6-FE767A733527}">
  <dimension ref="A1:N89"/>
  <sheetViews>
    <sheetView zoomScaleNormal="100" workbookViewId="0">
      <selection activeCell="A51" sqref="A51:E55"/>
    </sheetView>
  </sheetViews>
  <sheetFormatPr defaultRowHeight="14.4" x14ac:dyDescent="0.3"/>
  <cols>
    <col min="1" max="1" width="10.5546875" customWidth="1"/>
    <col min="2" max="2" width="11" customWidth="1"/>
    <col min="3" max="3" width="11.88671875" customWidth="1"/>
    <col min="4" max="4" width="16.44140625" customWidth="1"/>
    <col min="5" max="5" width="19.6640625" customWidth="1"/>
    <col min="6" max="6" width="10.6640625" customWidth="1"/>
    <col min="7" max="7" width="10" customWidth="1"/>
    <col min="8" max="8" width="14.109375" customWidth="1"/>
    <col min="9" max="10" width="12.5546875" customWidth="1"/>
    <col min="11" max="11" width="15.33203125" customWidth="1"/>
    <col min="14" max="14" width="8.88671875" customWidth="1"/>
  </cols>
  <sheetData>
    <row r="1" spans="1:10" s="1" customFormat="1" ht="33" customHeight="1" x14ac:dyDescent="0.3">
      <c r="A1" s="2" t="s">
        <v>8</v>
      </c>
      <c r="B1" s="3" t="s">
        <v>9</v>
      </c>
      <c r="C1" s="3" t="s">
        <v>0</v>
      </c>
      <c r="D1" s="3" t="s">
        <v>1</v>
      </c>
      <c r="E1" s="3" t="s">
        <v>2</v>
      </c>
      <c r="F1" s="3" t="s">
        <v>3</v>
      </c>
      <c r="G1" s="3" t="s">
        <v>4</v>
      </c>
      <c r="H1" s="3" t="s">
        <v>5</v>
      </c>
      <c r="I1" s="3" t="s">
        <v>6</v>
      </c>
      <c r="J1" s="4" t="s">
        <v>7</v>
      </c>
    </row>
    <row r="2" spans="1:10" x14ac:dyDescent="0.3">
      <c r="A2" s="5" t="s">
        <v>16</v>
      </c>
      <c r="B2" s="6">
        <v>46025</v>
      </c>
      <c r="C2" s="5" t="s">
        <v>17</v>
      </c>
      <c r="D2" s="5" t="s">
        <v>18</v>
      </c>
      <c r="E2" s="5" t="s">
        <v>19</v>
      </c>
      <c r="F2" s="5" t="s">
        <v>20</v>
      </c>
      <c r="G2" s="5" t="s">
        <v>21</v>
      </c>
      <c r="H2" s="5" t="s">
        <v>22</v>
      </c>
      <c r="I2" s="5">
        <v>2</v>
      </c>
      <c r="J2" s="5">
        <v>5</v>
      </c>
    </row>
    <row r="3" spans="1:10" x14ac:dyDescent="0.3">
      <c r="A3" s="5" t="s">
        <v>23</v>
      </c>
      <c r="B3" s="6">
        <v>46025</v>
      </c>
      <c r="C3" s="5" t="s">
        <v>24</v>
      </c>
      <c r="D3" s="5" t="s">
        <v>25</v>
      </c>
      <c r="E3" s="5" t="s">
        <v>26</v>
      </c>
      <c r="F3" s="5" t="s">
        <v>27</v>
      </c>
      <c r="G3" s="5" t="s">
        <v>28</v>
      </c>
      <c r="H3" s="5" t="s">
        <v>22</v>
      </c>
      <c r="I3" s="5">
        <v>5</v>
      </c>
      <c r="J3" s="5">
        <v>4</v>
      </c>
    </row>
    <row r="4" spans="1:10" x14ac:dyDescent="0.3">
      <c r="A4" s="5" t="s">
        <v>29</v>
      </c>
      <c r="B4" s="6">
        <v>46026</v>
      </c>
      <c r="C4" s="5" t="s">
        <v>30</v>
      </c>
      <c r="D4" s="5" t="s">
        <v>18</v>
      </c>
      <c r="E4" s="5" t="s">
        <v>31</v>
      </c>
      <c r="F4" s="5" t="s">
        <v>20</v>
      </c>
      <c r="G4" s="5" t="s">
        <v>32</v>
      </c>
      <c r="H4" s="5" t="s">
        <v>22</v>
      </c>
      <c r="I4" s="5">
        <v>8</v>
      </c>
      <c r="J4" s="5">
        <v>2</v>
      </c>
    </row>
    <row r="5" spans="1:10" x14ac:dyDescent="0.3">
      <c r="A5" s="5" t="s">
        <v>33</v>
      </c>
      <c r="B5" s="6">
        <v>46026</v>
      </c>
      <c r="C5" s="5" t="s">
        <v>34</v>
      </c>
      <c r="D5" s="5" t="s">
        <v>35</v>
      </c>
      <c r="E5" s="5" t="s">
        <v>36</v>
      </c>
      <c r="F5" s="5" t="s">
        <v>37</v>
      </c>
      <c r="G5" s="5" t="s">
        <v>38</v>
      </c>
      <c r="H5" s="5" t="s">
        <v>22</v>
      </c>
      <c r="I5" s="5">
        <v>1</v>
      </c>
      <c r="J5" s="5">
        <v>5</v>
      </c>
    </row>
    <row r="6" spans="1:10" x14ac:dyDescent="0.3">
      <c r="A6" s="5" t="s">
        <v>39</v>
      </c>
      <c r="B6" s="6">
        <v>46027</v>
      </c>
      <c r="C6" s="5" t="s">
        <v>40</v>
      </c>
      <c r="D6" s="5" t="s">
        <v>18</v>
      </c>
      <c r="E6" s="5" t="s">
        <v>41</v>
      </c>
      <c r="F6" s="5" t="s">
        <v>20</v>
      </c>
      <c r="G6" s="5" t="s">
        <v>42</v>
      </c>
      <c r="H6" s="5" t="s">
        <v>43</v>
      </c>
      <c r="I6" s="5">
        <v>10</v>
      </c>
      <c r="J6" s="5">
        <v>2</v>
      </c>
    </row>
    <row r="7" spans="1:10" x14ac:dyDescent="0.3">
      <c r="A7" s="5" t="s">
        <v>44</v>
      </c>
      <c r="B7" s="6">
        <v>46027</v>
      </c>
      <c r="C7" s="5" t="s">
        <v>17</v>
      </c>
      <c r="D7" s="5" t="s">
        <v>25</v>
      </c>
      <c r="E7" s="5" t="s">
        <v>26</v>
      </c>
      <c r="F7" s="5" t="s">
        <v>27</v>
      </c>
      <c r="G7" s="5" t="s">
        <v>28</v>
      </c>
      <c r="H7" s="5" t="s">
        <v>22</v>
      </c>
      <c r="I7" s="5">
        <v>4</v>
      </c>
      <c r="J7" s="5">
        <v>4</v>
      </c>
    </row>
    <row r="8" spans="1:10" x14ac:dyDescent="0.3">
      <c r="A8" s="5" t="s">
        <v>45</v>
      </c>
      <c r="B8" s="6">
        <v>46028</v>
      </c>
      <c r="C8" s="5" t="s">
        <v>24</v>
      </c>
      <c r="D8" s="5" t="s">
        <v>18</v>
      </c>
      <c r="E8" s="5" t="s">
        <v>19</v>
      </c>
      <c r="F8" s="5" t="s">
        <v>37</v>
      </c>
      <c r="G8" s="5" t="s">
        <v>21</v>
      </c>
      <c r="H8" s="5" t="s">
        <v>22</v>
      </c>
      <c r="I8" s="5">
        <v>2</v>
      </c>
      <c r="J8" s="5">
        <v>5</v>
      </c>
    </row>
    <row r="9" spans="1:10" x14ac:dyDescent="0.3">
      <c r="A9" s="5" t="s">
        <v>46</v>
      </c>
      <c r="B9" s="6">
        <v>46028</v>
      </c>
      <c r="C9" s="5" t="s">
        <v>30</v>
      </c>
      <c r="D9" s="5" t="s">
        <v>35</v>
      </c>
      <c r="E9" s="5" t="s">
        <v>36</v>
      </c>
      <c r="F9" s="5" t="s">
        <v>20</v>
      </c>
      <c r="G9" s="5" t="s">
        <v>38</v>
      </c>
      <c r="H9" s="5" t="s">
        <v>47</v>
      </c>
      <c r="I9" s="5">
        <v>12</v>
      </c>
      <c r="J9" s="5">
        <v>1</v>
      </c>
    </row>
    <row r="10" spans="1:10" x14ac:dyDescent="0.3">
      <c r="A10" s="5" t="s">
        <v>48</v>
      </c>
      <c r="B10" s="6">
        <v>46029</v>
      </c>
      <c r="C10" s="5" t="s">
        <v>34</v>
      </c>
      <c r="D10" s="5" t="s">
        <v>25</v>
      </c>
      <c r="E10" s="5" t="s">
        <v>31</v>
      </c>
      <c r="F10" s="5" t="s">
        <v>27</v>
      </c>
      <c r="G10" s="5" t="s">
        <v>32</v>
      </c>
      <c r="H10" s="5" t="s">
        <v>22</v>
      </c>
      <c r="I10" s="5">
        <v>7</v>
      </c>
      <c r="J10" s="5">
        <v>3</v>
      </c>
    </row>
    <row r="11" spans="1:10" x14ac:dyDescent="0.3">
      <c r="A11" s="5" t="s">
        <v>49</v>
      </c>
      <c r="B11" s="6">
        <v>46029</v>
      </c>
      <c r="C11" s="5" t="s">
        <v>40</v>
      </c>
      <c r="D11" s="5" t="s">
        <v>18</v>
      </c>
      <c r="E11" s="5" t="s">
        <v>26</v>
      </c>
      <c r="F11" s="5" t="s">
        <v>37</v>
      </c>
      <c r="G11" s="5" t="s">
        <v>28</v>
      </c>
      <c r="H11" s="5" t="s">
        <v>22</v>
      </c>
      <c r="I11" s="5">
        <v>3</v>
      </c>
      <c r="J11" s="5">
        <v>5</v>
      </c>
    </row>
    <row r="12" spans="1:10" x14ac:dyDescent="0.3">
      <c r="A12" s="5" t="s">
        <v>50</v>
      </c>
      <c r="B12" s="6">
        <v>46030</v>
      </c>
      <c r="C12" s="5" t="s">
        <v>17</v>
      </c>
      <c r="D12" s="5" t="s">
        <v>35</v>
      </c>
      <c r="E12" s="5" t="s">
        <v>41</v>
      </c>
      <c r="F12" s="5" t="s">
        <v>20</v>
      </c>
      <c r="G12" s="5" t="s">
        <v>42</v>
      </c>
      <c r="H12" s="5" t="s">
        <v>43</v>
      </c>
      <c r="I12" s="5">
        <v>9</v>
      </c>
      <c r="J12" s="5">
        <v>2</v>
      </c>
    </row>
    <row r="13" spans="1:10" x14ac:dyDescent="0.3">
      <c r="A13" s="5" t="s">
        <v>51</v>
      </c>
      <c r="B13" s="6">
        <v>46030</v>
      </c>
      <c r="C13" s="5" t="s">
        <v>24</v>
      </c>
      <c r="D13" s="5" t="s">
        <v>18</v>
      </c>
      <c r="E13" s="5" t="s">
        <v>19</v>
      </c>
      <c r="F13" s="5" t="s">
        <v>27</v>
      </c>
      <c r="G13" s="5" t="s">
        <v>21</v>
      </c>
      <c r="H13" s="5" t="s">
        <v>22</v>
      </c>
      <c r="I13" s="5">
        <v>3</v>
      </c>
      <c r="J13" s="5">
        <v>4</v>
      </c>
    </row>
    <row r="14" spans="1:10" x14ac:dyDescent="0.3">
      <c r="A14" s="5" t="s">
        <v>52</v>
      </c>
      <c r="B14" s="6">
        <v>46031</v>
      </c>
      <c r="C14" s="5" t="s">
        <v>30</v>
      </c>
      <c r="D14" s="5" t="s">
        <v>25</v>
      </c>
      <c r="E14" s="5" t="s">
        <v>31</v>
      </c>
      <c r="F14" s="5" t="s">
        <v>20</v>
      </c>
      <c r="G14" s="5" t="s">
        <v>32</v>
      </c>
      <c r="H14" s="5" t="s">
        <v>22</v>
      </c>
      <c r="I14" s="5">
        <v>6</v>
      </c>
      <c r="J14" s="5">
        <v>3</v>
      </c>
    </row>
    <row r="15" spans="1:10" x14ac:dyDescent="0.3">
      <c r="A15" s="5" t="s">
        <v>53</v>
      </c>
      <c r="B15" s="6">
        <v>46031</v>
      </c>
      <c r="C15" s="5" t="s">
        <v>34</v>
      </c>
      <c r="D15" s="5" t="s">
        <v>18</v>
      </c>
      <c r="E15" s="5" t="s">
        <v>36</v>
      </c>
      <c r="F15" s="5" t="s">
        <v>27</v>
      </c>
      <c r="G15" s="5" t="s">
        <v>38</v>
      </c>
      <c r="H15" s="5" t="s">
        <v>22</v>
      </c>
      <c r="I15" s="5">
        <v>4</v>
      </c>
      <c r="J15" s="5">
        <v>4</v>
      </c>
    </row>
    <row r="16" spans="1:10" x14ac:dyDescent="0.3">
      <c r="A16" s="5" t="s">
        <v>54</v>
      </c>
      <c r="B16" s="6">
        <v>46032</v>
      </c>
      <c r="C16" s="5" t="s">
        <v>40</v>
      </c>
      <c r="D16" s="5" t="s">
        <v>35</v>
      </c>
      <c r="E16" s="5" t="s">
        <v>26</v>
      </c>
      <c r="F16" s="5" t="s">
        <v>20</v>
      </c>
      <c r="G16" s="5" t="s">
        <v>28</v>
      </c>
      <c r="H16" s="5" t="s">
        <v>47</v>
      </c>
      <c r="I16" s="5">
        <v>11</v>
      </c>
      <c r="J16" s="5">
        <v>2</v>
      </c>
    </row>
    <row r="17" spans="1:14" x14ac:dyDescent="0.3">
      <c r="A17" s="5" t="s">
        <v>74</v>
      </c>
      <c r="B17" s="6">
        <v>46032</v>
      </c>
      <c r="C17" s="5" t="s">
        <v>17</v>
      </c>
      <c r="D17" s="5" t="s">
        <v>18</v>
      </c>
      <c r="E17" s="5" t="s">
        <v>19</v>
      </c>
      <c r="F17" s="5" t="s">
        <v>27</v>
      </c>
      <c r="G17" s="5" t="s">
        <v>21</v>
      </c>
      <c r="H17" s="5" t="s">
        <v>22</v>
      </c>
      <c r="I17" s="5">
        <v>2</v>
      </c>
      <c r="J17" s="5">
        <v>5</v>
      </c>
    </row>
    <row r="18" spans="1:14" x14ac:dyDescent="0.3">
      <c r="A18" s="5" t="s">
        <v>75</v>
      </c>
      <c r="B18" s="6">
        <v>46033</v>
      </c>
      <c r="C18" s="5" t="s">
        <v>24</v>
      </c>
      <c r="D18" s="5" t="s">
        <v>25</v>
      </c>
      <c r="E18" s="5" t="s">
        <v>41</v>
      </c>
      <c r="F18" s="5" t="s">
        <v>20</v>
      </c>
      <c r="G18" s="5" t="s">
        <v>42</v>
      </c>
      <c r="H18" s="5" t="s">
        <v>43</v>
      </c>
      <c r="I18" s="5">
        <v>13</v>
      </c>
      <c r="J18" s="5">
        <v>2</v>
      </c>
    </row>
    <row r="19" spans="1:14" x14ac:dyDescent="0.3">
      <c r="A19" s="5" t="s">
        <v>76</v>
      </c>
      <c r="B19" s="6">
        <v>46033</v>
      </c>
      <c r="C19" s="5" t="s">
        <v>30</v>
      </c>
      <c r="D19" s="5" t="s">
        <v>18</v>
      </c>
      <c r="E19" s="5" t="s">
        <v>26</v>
      </c>
      <c r="F19" s="5" t="s">
        <v>37</v>
      </c>
      <c r="G19" s="5" t="s">
        <v>28</v>
      </c>
      <c r="H19" s="5" t="s">
        <v>22</v>
      </c>
      <c r="I19" s="5">
        <v>3</v>
      </c>
      <c r="J19" s="5">
        <v>5</v>
      </c>
    </row>
    <row r="20" spans="1:14" x14ac:dyDescent="0.3">
      <c r="A20" s="5" t="s">
        <v>77</v>
      </c>
      <c r="B20" s="6">
        <v>46034</v>
      </c>
      <c r="C20" s="5" t="s">
        <v>34</v>
      </c>
      <c r="D20" s="5" t="s">
        <v>35</v>
      </c>
      <c r="E20" s="5" t="s">
        <v>36</v>
      </c>
      <c r="F20" s="5" t="s">
        <v>20</v>
      </c>
      <c r="G20" s="5" t="s">
        <v>38</v>
      </c>
      <c r="H20" s="5" t="s">
        <v>47</v>
      </c>
      <c r="I20" s="5">
        <v>14</v>
      </c>
      <c r="J20" s="5">
        <v>1</v>
      </c>
    </row>
    <row r="21" spans="1:14" x14ac:dyDescent="0.3">
      <c r="A21" s="5" t="s">
        <v>78</v>
      </c>
      <c r="B21" s="6">
        <v>46034</v>
      </c>
      <c r="C21" s="5" t="s">
        <v>40</v>
      </c>
      <c r="D21" s="5" t="s">
        <v>25</v>
      </c>
      <c r="E21" s="5" t="s">
        <v>31</v>
      </c>
      <c r="F21" s="5" t="s">
        <v>27</v>
      </c>
      <c r="G21" s="5" t="s">
        <v>32</v>
      </c>
      <c r="H21" s="5" t="s">
        <v>22</v>
      </c>
      <c r="I21" s="5">
        <v>6</v>
      </c>
      <c r="J21" s="5">
        <v>3</v>
      </c>
    </row>
    <row r="22" spans="1:14" x14ac:dyDescent="0.3">
      <c r="A22" s="5" t="s">
        <v>79</v>
      </c>
      <c r="B22" s="6">
        <v>46035</v>
      </c>
      <c r="C22" s="5" t="s">
        <v>17</v>
      </c>
      <c r="D22" s="5" t="s">
        <v>35</v>
      </c>
      <c r="E22" s="5" t="s">
        <v>26</v>
      </c>
      <c r="F22" s="5" t="s">
        <v>20</v>
      </c>
      <c r="G22" s="5" t="s">
        <v>28</v>
      </c>
      <c r="H22" s="5" t="s">
        <v>22</v>
      </c>
      <c r="I22" s="5">
        <v>7</v>
      </c>
      <c r="J22" s="5">
        <v>3</v>
      </c>
    </row>
    <row r="23" spans="1:14" x14ac:dyDescent="0.3">
      <c r="A23" s="5" t="s">
        <v>80</v>
      </c>
      <c r="B23" s="6">
        <v>46035</v>
      </c>
      <c r="C23" s="5" t="s">
        <v>24</v>
      </c>
      <c r="D23" s="5" t="s">
        <v>18</v>
      </c>
      <c r="E23" s="5" t="s">
        <v>19</v>
      </c>
      <c r="F23" s="5" t="s">
        <v>37</v>
      </c>
      <c r="G23" s="5" t="s">
        <v>21</v>
      </c>
      <c r="H23" s="5" t="s">
        <v>22</v>
      </c>
      <c r="I23" s="5">
        <v>2</v>
      </c>
      <c r="J23" s="5">
        <v>5</v>
      </c>
    </row>
    <row r="24" spans="1:14" x14ac:dyDescent="0.3">
      <c r="A24" s="5" t="s">
        <v>81</v>
      </c>
      <c r="B24" s="6">
        <v>46036</v>
      </c>
      <c r="C24" s="5" t="s">
        <v>30</v>
      </c>
      <c r="D24" s="5" t="s">
        <v>25</v>
      </c>
      <c r="E24" s="5" t="s">
        <v>31</v>
      </c>
      <c r="F24" s="5" t="s">
        <v>20</v>
      </c>
      <c r="G24" s="5" t="s">
        <v>32</v>
      </c>
      <c r="H24" s="5" t="s">
        <v>22</v>
      </c>
      <c r="I24" s="5">
        <v>8</v>
      </c>
      <c r="J24" s="5">
        <v>2</v>
      </c>
    </row>
    <row r="25" spans="1:14" x14ac:dyDescent="0.3">
      <c r="A25" s="5" t="s">
        <v>82</v>
      </c>
      <c r="B25" s="6">
        <v>46036</v>
      </c>
      <c r="C25" s="5" t="s">
        <v>34</v>
      </c>
      <c r="D25" s="5" t="s">
        <v>18</v>
      </c>
      <c r="E25" s="5" t="s">
        <v>41</v>
      </c>
      <c r="F25" s="5" t="s">
        <v>27</v>
      </c>
      <c r="G25" s="5" t="s">
        <v>42</v>
      </c>
      <c r="H25" s="5" t="s">
        <v>22</v>
      </c>
      <c r="I25" s="5">
        <v>5</v>
      </c>
      <c r="J25" s="5">
        <v>4</v>
      </c>
    </row>
    <row r="26" spans="1:14" x14ac:dyDescent="0.3">
      <c r="A26" s="14" t="s">
        <v>83</v>
      </c>
      <c r="B26" s="15">
        <v>46037</v>
      </c>
      <c r="C26" s="14" t="s">
        <v>40</v>
      </c>
      <c r="D26" s="14" t="s">
        <v>35</v>
      </c>
      <c r="E26" s="14" t="s">
        <v>36</v>
      </c>
      <c r="F26" s="14" t="s">
        <v>20</v>
      </c>
      <c r="G26" s="14" t="s">
        <v>38</v>
      </c>
      <c r="H26" s="14" t="s">
        <v>43</v>
      </c>
      <c r="I26" s="14">
        <v>11</v>
      </c>
      <c r="J26" s="14">
        <v>2</v>
      </c>
    </row>
    <row r="27" spans="1:14" x14ac:dyDescent="0.3">
      <c r="A27" s="16"/>
      <c r="B27" s="17"/>
      <c r="C27" s="16"/>
      <c r="D27" s="16"/>
      <c r="E27" s="16"/>
      <c r="F27" s="16"/>
      <c r="G27" s="16"/>
      <c r="H27" s="16"/>
      <c r="I27" s="16"/>
      <c r="J27" s="16"/>
    </row>
    <row r="28" spans="1:14" x14ac:dyDescent="0.3">
      <c r="A28" s="16"/>
      <c r="B28" s="17"/>
      <c r="C28" s="16"/>
      <c r="D28" s="16"/>
      <c r="E28" s="16"/>
      <c r="F28" s="16"/>
      <c r="G28" s="16"/>
      <c r="H28" s="16"/>
      <c r="I28" s="16"/>
      <c r="J28" s="16"/>
    </row>
    <row r="30" spans="1:14" x14ac:dyDescent="0.3">
      <c r="A30" s="7" t="s">
        <v>55</v>
      </c>
      <c r="B30" s="12"/>
      <c r="C30" s="12"/>
      <c r="D30" s="12"/>
      <c r="E30" s="12"/>
    </row>
    <row r="32" spans="1:14" ht="14.4" customHeight="1" x14ac:dyDescent="0.3">
      <c r="A32" s="80" t="s">
        <v>56</v>
      </c>
      <c r="B32" s="81"/>
      <c r="C32" s="81"/>
      <c r="D32" s="81"/>
      <c r="E32" s="82"/>
      <c r="H32" s="1"/>
      <c r="I32" s="1"/>
      <c r="J32" s="1"/>
      <c r="K32" s="1"/>
      <c r="L32" s="1"/>
      <c r="M32" s="1"/>
      <c r="N32" s="1"/>
    </row>
    <row r="33" spans="1:14" ht="14.4" customHeight="1" x14ac:dyDescent="0.3">
      <c r="A33" s="83"/>
      <c r="B33" s="84"/>
      <c r="C33" s="84"/>
      <c r="D33" s="84"/>
      <c r="E33" s="85"/>
      <c r="H33" s="16"/>
      <c r="I33" s="16"/>
      <c r="J33" s="16"/>
      <c r="K33" s="16"/>
      <c r="L33" s="16"/>
      <c r="M33" s="16"/>
      <c r="N33" s="16"/>
    </row>
    <row r="34" spans="1:14" ht="15.6" x14ac:dyDescent="0.3">
      <c r="A34" s="8" t="s">
        <v>57</v>
      </c>
      <c r="B34" s="9"/>
      <c r="C34" s="9"/>
      <c r="D34" s="86">
        <f>COUNTA(Table5[Complaint ID])</f>
        <v>25</v>
      </c>
      <c r="E34" s="87"/>
      <c r="H34" s="16"/>
      <c r="I34" s="16"/>
      <c r="J34" s="16"/>
      <c r="K34" s="16"/>
      <c r="L34" s="16"/>
      <c r="M34" s="16"/>
      <c r="N34" s="16"/>
    </row>
    <row r="35" spans="1:14" ht="15.6" x14ac:dyDescent="0.3">
      <c r="A35" s="10" t="s">
        <v>58</v>
      </c>
      <c r="B35" s="11"/>
      <c r="C35" s="11"/>
      <c r="D35" s="86">
        <f>COUNTA(A8:J8)</f>
        <v>10</v>
      </c>
      <c r="E35" s="87"/>
      <c r="H35" s="16"/>
      <c r="I35" s="16"/>
      <c r="J35" s="16"/>
      <c r="K35" s="16"/>
      <c r="L35" s="16"/>
      <c r="M35" s="16"/>
      <c r="N35" s="16"/>
    </row>
    <row r="36" spans="1:14" ht="15.6" x14ac:dyDescent="0.3">
      <c r="A36" s="10" t="s">
        <v>59</v>
      </c>
      <c r="B36" s="11"/>
      <c r="C36" s="11"/>
      <c r="D36" s="86" t="s">
        <v>60</v>
      </c>
      <c r="E36" s="87"/>
      <c r="H36" s="16"/>
      <c r="I36" s="16"/>
      <c r="J36" s="16"/>
      <c r="K36" s="16"/>
      <c r="L36" s="16"/>
      <c r="M36" s="16"/>
      <c r="N36" s="16"/>
    </row>
    <row r="37" spans="1:14" ht="19.95" customHeight="1" x14ac:dyDescent="0.3">
      <c r="A37" s="27" t="s">
        <v>61</v>
      </c>
      <c r="B37" s="11"/>
      <c r="C37" s="11"/>
      <c r="D37" s="88" t="s">
        <v>60</v>
      </c>
      <c r="E37" s="89"/>
      <c r="H37" s="16"/>
      <c r="I37" s="16"/>
      <c r="J37" s="16"/>
      <c r="K37" s="16"/>
      <c r="L37" s="16"/>
      <c r="M37" s="16"/>
      <c r="N37" s="16"/>
    </row>
    <row r="38" spans="1:14" ht="15.6" x14ac:dyDescent="0.3">
      <c r="A38" s="10" t="s">
        <v>62</v>
      </c>
      <c r="B38" s="11"/>
      <c r="C38" s="11"/>
      <c r="D38" s="86" t="s">
        <v>63</v>
      </c>
      <c r="E38" s="87"/>
    </row>
    <row r="39" spans="1:14" ht="15.6" x14ac:dyDescent="0.3">
      <c r="A39" s="10" t="s">
        <v>64</v>
      </c>
      <c r="B39" s="11"/>
      <c r="C39" s="11"/>
      <c r="D39" s="86" t="s">
        <v>60</v>
      </c>
      <c r="E39" s="87"/>
    </row>
    <row r="40" spans="1:14" ht="15.6" x14ac:dyDescent="0.3">
      <c r="A40" s="102" t="s">
        <v>65</v>
      </c>
      <c r="B40" s="103"/>
      <c r="C40" s="103"/>
      <c r="D40" s="103"/>
      <c r="E40" s="104"/>
    </row>
    <row r="41" spans="1:14" x14ac:dyDescent="0.3">
      <c r="A41" s="105" t="s">
        <v>66</v>
      </c>
      <c r="B41" s="106"/>
      <c r="C41" s="106"/>
      <c r="D41" s="106"/>
      <c r="E41" s="107"/>
    </row>
    <row r="42" spans="1:14" ht="14.4" customHeight="1" x14ac:dyDescent="0.3">
      <c r="A42" s="108"/>
      <c r="B42" s="109"/>
      <c r="C42" s="109"/>
      <c r="D42" s="109"/>
      <c r="E42" s="110"/>
    </row>
    <row r="43" spans="1:14" x14ac:dyDescent="0.3">
      <c r="A43" s="108"/>
      <c r="B43" s="109"/>
      <c r="C43" s="109"/>
      <c r="D43" s="109"/>
      <c r="E43" s="110"/>
    </row>
    <row r="44" spans="1:14" x14ac:dyDescent="0.3">
      <c r="A44" s="108"/>
      <c r="B44" s="109"/>
      <c r="C44" s="109"/>
      <c r="D44" s="109"/>
      <c r="E44" s="110"/>
    </row>
    <row r="45" spans="1:14" x14ac:dyDescent="0.3">
      <c r="A45" s="108"/>
      <c r="B45" s="109"/>
      <c r="C45" s="109"/>
      <c r="D45" s="109"/>
      <c r="E45" s="110"/>
    </row>
    <row r="46" spans="1:14" x14ac:dyDescent="0.3">
      <c r="A46" s="108"/>
      <c r="B46" s="109"/>
      <c r="C46" s="109"/>
      <c r="D46" s="109"/>
      <c r="E46" s="110"/>
    </row>
    <row r="47" spans="1:14" ht="14.4" customHeight="1" x14ac:dyDescent="0.3">
      <c r="A47" s="108"/>
      <c r="B47" s="109"/>
      <c r="C47" s="109"/>
      <c r="D47" s="109"/>
      <c r="E47" s="110"/>
    </row>
    <row r="48" spans="1:14" x14ac:dyDescent="0.3">
      <c r="A48" s="108"/>
      <c r="B48" s="109"/>
      <c r="C48" s="109"/>
      <c r="D48" s="109"/>
      <c r="E48" s="110"/>
    </row>
    <row r="49" spans="1:5" x14ac:dyDescent="0.3">
      <c r="A49" s="111"/>
      <c r="B49" s="112"/>
      <c r="C49" s="112"/>
      <c r="D49" s="112"/>
      <c r="E49" s="113"/>
    </row>
    <row r="50" spans="1:5" ht="15.6" x14ac:dyDescent="0.3">
      <c r="A50" s="90" t="s">
        <v>67</v>
      </c>
      <c r="B50" s="91"/>
      <c r="C50" s="91"/>
      <c r="D50" s="91"/>
      <c r="E50" s="92"/>
    </row>
    <row r="51" spans="1:5" ht="15.6" customHeight="1" x14ac:dyDescent="0.3">
      <c r="A51" s="93" t="s">
        <v>68</v>
      </c>
      <c r="B51" s="94"/>
      <c r="C51" s="94"/>
      <c r="D51" s="94"/>
      <c r="E51" s="95"/>
    </row>
    <row r="52" spans="1:5" ht="15.6" customHeight="1" x14ac:dyDescent="0.3">
      <c r="A52" s="96"/>
      <c r="B52" s="97"/>
      <c r="C52" s="97"/>
      <c r="D52" s="97"/>
      <c r="E52" s="98"/>
    </row>
    <row r="53" spans="1:5" ht="15.6" customHeight="1" x14ac:dyDescent="0.3">
      <c r="A53" s="96"/>
      <c r="B53" s="97"/>
      <c r="C53" s="97"/>
      <c r="D53" s="97"/>
      <c r="E53" s="98"/>
    </row>
    <row r="54" spans="1:5" ht="15.6" customHeight="1" x14ac:dyDescent="0.3">
      <c r="A54" s="96"/>
      <c r="B54" s="97"/>
      <c r="C54" s="97"/>
      <c r="D54" s="97"/>
      <c r="E54" s="98"/>
    </row>
    <row r="55" spans="1:5" ht="15.6" customHeight="1" x14ac:dyDescent="0.3">
      <c r="A55" s="99"/>
      <c r="B55" s="100"/>
      <c r="C55" s="100"/>
      <c r="D55" s="100"/>
      <c r="E55" s="101"/>
    </row>
    <row r="56" spans="1:5" ht="15.6" x14ac:dyDescent="0.3">
      <c r="A56" s="114" t="s">
        <v>69</v>
      </c>
      <c r="B56" s="114"/>
      <c r="C56" s="114"/>
      <c r="D56" s="114"/>
      <c r="E56" s="114"/>
    </row>
    <row r="57" spans="1:5" x14ac:dyDescent="0.3">
      <c r="A57" s="79" t="s">
        <v>72</v>
      </c>
      <c r="B57" s="79"/>
      <c r="C57" s="79"/>
      <c r="D57" s="79"/>
      <c r="E57" s="79"/>
    </row>
    <row r="58" spans="1:5" x14ac:dyDescent="0.3">
      <c r="A58" s="79"/>
      <c r="B58" s="79"/>
      <c r="C58" s="79"/>
      <c r="D58" s="79"/>
      <c r="E58" s="79"/>
    </row>
    <row r="59" spans="1:5" x14ac:dyDescent="0.3">
      <c r="A59" s="79"/>
      <c r="B59" s="79"/>
      <c r="C59" s="79"/>
      <c r="D59" s="79"/>
      <c r="E59" s="79"/>
    </row>
    <row r="60" spans="1:5" x14ac:dyDescent="0.3">
      <c r="A60" s="79"/>
      <c r="B60" s="79"/>
      <c r="C60" s="79"/>
      <c r="D60" s="79"/>
      <c r="E60" s="79"/>
    </row>
    <row r="61" spans="1:5" x14ac:dyDescent="0.3">
      <c r="A61" s="79"/>
      <c r="B61" s="79"/>
      <c r="C61" s="79"/>
      <c r="D61" s="79"/>
      <c r="E61" s="79"/>
    </row>
    <row r="62" spans="1:5" ht="15.6" x14ac:dyDescent="0.3">
      <c r="A62" s="23"/>
      <c r="B62" s="23"/>
      <c r="C62" s="23"/>
      <c r="D62" s="23"/>
      <c r="E62" s="23"/>
    </row>
    <row r="63" spans="1:5" ht="15.6" x14ac:dyDescent="0.3">
      <c r="A63" s="23"/>
      <c r="B63" s="23"/>
      <c r="C63" s="23"/>
      <c r="D63" s="23"/>
      <c r="E63" s="23"/>
    </row>
    <row r="64" spans="1:5" ht="15.6" x14ac:dyDescent="0.3">
      <c r="A64" s="23"/>
      <c r="B64" s="23"/>
      <c r="C64" s="23"/>
      <c r="D64" s="23"/>
      <c r="E64" s="23"/>
    </row>
    <row r="65" spans="1:5" ht="15.6" x14ac:dyDescent="0.3">
      <c r="A65" s="24" t="s">
        <v>70</v>
      </c>
      <c r="B65" s="23"/>
      <c r="C65" s="23"/>
      <c r="D65" s="23"/>
      <c r="E65" s="23"/>
    </row>
    <row r="66" spans="1:5" ht="15.6" x14ac:dyDescent="0.3">
      <c r="A66" s="23"/>
      <c r="B66" s="23"/>
      <c r="C66" s="23"/>
      <c r="D66" s="23"/>
      <c r="E66" s="23"/>
    </row>
    <row r="67" spans="1:5" ht="15.6" x14ac:dyDescent="0.3">
      <c r="A67" s="78" t="s">
        <v>71</v>
      </c>
      <c r="B67" s="78"/>
      <c r="C67" s="78"/>
      <c r="D67" s="78"/>
      <c r="E67" s="78"/>
    </row>
    <row r="68" spans="1:5" ht="15.6" x14ac:dyDescent="0.3">
      <c r="A68" s="13"/>
      <c r="B68" s="13"/>
      <c r="C68" s="13"/>
      <c r="D68" s="13"/>
      <c r="E68" s="13"/>
    </row>
    <row r="69" spans="1:5" ht="15.6" customHeight="1" x14ac:dyDescent="0.3">
      <c r="A69" s="79" t="s">
        <v>73</v>
      </c>
      <c r="B69" s="79"/>
      <c r="C69" s="79"/>
      <c r="D69" s="79"/>
      <c r="E69" s="79"/>
    </row>
    <row r="70" spans="1:5" ht="14.4" customHeight="1" x14ac:dyDescent="0.3">
      <c r="A70" s="79"/>
      <c r="B70" s="79"/>
      <c r="C70" s="79"/>
      <c r="D70" s="79"/>
      <c r="E70" s="79"/>
    </row>
    <row r="71" spans="1:5" ht="14.4" customHeight="1" x14ac:dyDescent="0.3">
      <c r="A71" s="79"/>
      <c r="B71" s="79"/>
      <c r="C71" s="79"/>
      <c r="D71" s="79"/>
      <c r="E71" s="79"/>
    </row>
    <row r="72" spans="1:5" x14ac:dyDescent="0.3">
      <c r="A72" s="79"/>
      <c r="B72" s="79"/>
      <c r="C72" s="79"/>
      <c r="D72" s="79"/>
      <c r="E72" s="79"/>
    </row>
    <row r="73" spans="1:5" ht="15.6" x14ac:dyDescent="0.3">
      <c r="A73" s="23"/>
      <c r="B73" s="23"/>
      <c r="C73" s="23"/>
      <c r="D73" s="23"/>
      <c r="E73" s="23"/>
    </row>
    <row r="74" spans="1:5" ht="15.6" x14ac:dyDescent="0.3">
      <c r="A74" s="23"/>
      <c r="B74" s="23"/>
      <c r="C74" s="23"/>
      <c r="D74" s="23"/>
      <c r="E74" s="23"/>
    </row>
    <row r="75" spans="1:5" ht="15.6" x14ac:dyDescent="0.3">
      <c r="A75" s="23"/>
      <c r="B75" s="23"/>
      <c r="C75" s="23"/>
      <c r="D75" s="23"/>
      <c r="E75" s="23"/>
    </row>
    <row r="76" spans="1:5" ht="15.6" x14ac:dyDescent="0.3">
      <c r="A76" s="24" t="s">
        <v>98</v>
      </c>
      <c r="B76" s="23"/>
      <c r="C76" s="23"/>
      <c r="D76" s="23"/>
      <c r="E76" s="23"/>
    </row>
    <row r="77" spans="1:5" ht="15.6" x14ac:dyDescent="0.3">
      <c r="A77" s="23"/>
      <c r="B77" s="23"/>
      <c r="C77" s="23"/>
      <c r="D77" s="23"/>
      <c r="E77" s="23"/>
    </row>
    <row r="78" spans="1:5" ht="15.6" x14ac:dyDescent="0.3">
      <c r="A78" s="25" t="s">
        <v>99</v>
      </c>
      <c r="B78" s="23"/>
      <c r="C78" s="23"/>
      <c r="D78" s="23"/>
      <c r="E78" s="23"/>
    </row>
    <row r="79" spans="1:5" ht="15.6" x14ac:dyDescent="0.3">
      <c r="A79" s="23"/>
      <c r="B79" s="23"/>
      <c r="C79" s="23"/>
      <c r="D79" s="23"/>
      <c r="E79" s="23"/>
    </row>
    <row r="80" spans="1:5" ht="15.6" x14ac:dyDescent="0.3">
      <c r="A80" s="23" t="s">
        <v>106</v>
      </c>
      <c r="B80" s="23"/>
      <c r="C80" s="23"/>
      <c r="D80" s="23"/>
      <c r="E80" s="23"/>
    </row>
    <row r="81" spans="1:5" ht="15.6" x14ac:dyDescent="0.3">
      <c r="A81" s="23"/>
      <c r="B81" s="23"/>
      <c r="C81" s="23"/>
      <c r="D81" s="23"/>
      <c r="E81" s="23"/>
    </row>
    <row r="82" spans="1:5" ht="15.6" x14ac:dyDescent="0.3">
      <c r="A82" s="25" t="s">
        <v>100</v>
      </c>
      <c r="B82" s="23"/>
      <c r="C82" s="23"/>
      <c r="D82" s="23"/>
      <c r="E82" s="23"/>
    </row>
    <row r="83" spans="1:5" ht="15.6" x14ac:dyDescent="0.3">
      <c r="A83" s="23"/>
      <c r="B83" s="23"/>
      <c r="C83" s="23"/>
      <c r="D83" s="23"/>
      <c r="E83" s="23"/>
    </row>
    <row r="84" spans="1:5" ht="15.6" x14ac:dyDescent="0.3">
      <c r="A84" s="23" t="s">
        <v>101</v>
      </c>
      <c r="B84" s="23"/>
      <c r="C84" s="23"/>
      <c r="D84" s="23"/>
      <c r="E84" s="23"/>
    </row>
    <row r="85" spans="1:5" ht="15.6" x14ac:dyDescent="0.3">
      <c r="A85" s="23" t="s">
        <v>102</v>
      </c>
      <c r="B85" s="23"/>
      <c r="C85" s="23"/>
      <c r="D85" s="23"/>
      <c r="E85" s="23"/>
    </row>
    <row r="86" spans="1:5" ht="15.6" x14ac:dyDescent="0.3">
      <c r="A86" s="23"/>
      <c r="B86" s="23"/>
      <c r="C86" s="23"/>
      <c r="D86" s="23"/>
      <c r="E86" s="23"/>
    </row>
    <row r="87" spans="1:5" ht="15.6" x14ac:dyDescent="0.3">
      <c r="A87" s="23"/>
      <c r="B87" s="23"/>
      <c r="C87" s="23"/>
      <c r="D87" s="23"/>
      <c r="E87" s="23"/>
    </row>
    <row r="88" spans="1:5" ht="15.6" x14ac:dyDescent="0.3">
      <c r="A88" s="23"/>
      <c r="B88" s="23"/>
      <c r="C88" s="23"/>
      <c r="D88" s="23"/>
      <c r="E88" s="23"/>
    </row>
    <row r="89" spans="1:5" ht="15.6" x14ac:dyDescent="0.3">
      <c r="A89" s="23"/>
      <c r="B89" s="23"/>
      <c r="C89" s="23"/>
      <c r="D89" s="23"/>
      <c r="E89" s="23"/>
    </row>
  </sheetData>
  <mergeCells count="15">
    <mergeCell ref="A67:E67"/>
    <mergeCell ref="A69:E72"/>
    <mergeCell ref="A57:E61"/>
    <mergeCell ref="A32:E33"/>
    <mergeCell ref="D34:E34"/>
    <mergeCell ref="D35:E35"/>
    <mergeCell ref="D36:E36"/>
    <mergeCell ref="D37:E37"/>
    <mergeCell ref="A50:E50"/>
    <mergeCell ref="A51:E55"/>
    <mergeCell ref="D38:E38"/>
    <mergeCell ref="D39:E39"/>
    <mergeCell ref="A40:E40"/>
    <mergeCell ref="A41:E49"/>
    <mergeCell ref="A56:E5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D8328-9E7F-451B-8BBA-DE0C071A52F9}">
  <dimension ref="A1:D39"/>
  <sheetViews>
    <sheetView zoomScaleNormal="100" workbookViewId="0">
      <selection activeCell="C3" sqref="C3"/>
    </sheetView>
  </sheetViews>
  <sheetFormatPr defaultColWidth="8.88671875" defaultRowHeight="15.6" x14ac:dyDescent="0.3"/>
  <cols>
    <col min="1" max="1" width="9.88671875" style="29" customWidth="1"/>
    <col min="2" max="2" width="63.33203125" style="23" customWidth="1"/>
    <col min="3" max="3" width="42.33203125" style="23" customWidth="1"/>
    <col min="4" max="4" width="63.5546875" style="23" customWidth="1"/>
    <col min="5" max="5" width="17.6640625" style="23" customWidth="1"/>
    <col min="6" max="6" width="13.5546875" style="23" customWidth="1"/>
    <col min="7" max="7" width="14.33203125" style="23" customWidth="1"/>
    <col min="8" max="8" width="12.33203125" style="23" customWidth="1"/>
    <col min="9" max="9" width="11.6640625" style="23" customWidth="1"/>
    <col min="10" max="11" width="8.88671875" style="23"/>
    <col min="12" max="12" width="34.5546875" style="23" customWidth="1"/>
    <col min="13" max="13" width="27" style="23" customWidth="1"/>
    <col min="14" max="14" width="31.109375" style="23" customWidth="1"/>
    <col min="15" max="15" width="21.6640625" style="23" customWidth="1"/>
    <col min="16" max="16384" width="8.88671875" style="23"/>
  </cols>
  <sheetData>
    <row r="1" spans="1:4" ht="31.2" customHeight="1" x14ac:dyDescent="0.3">
      <c r="A1" s="24" t="s">
        <v>98</v>
      </c>
      <c r="B1" s="115" t="s">
        <v>107</v>
      </c>
      <c r="C1" s="115"/>
      <c r="D1" s="115"/>
    </row>
    <row r="2" spans="1:4" ht="18.75" customHeight="1" x14ac:dyDescent="0.3"/>
    <row r="3" spans="1:4" ht="18.75" customHeight="1" x14ac:dyDescent="0.3"/>
    <row r="4" spans="1:4" ht="18.75" customHeight="1" x14ac:dyDescent="0.3"/>
    <row r="5" spans="1:4" ht="43.95" customHeight="1" x14ac:dyDescent="0.3">
      <c r="A5" s="31" t="s">
        <v>121</v>
      </c>
      <c r="B5" s="32" t="s">
        <v>103</v>
      </c>
      <c r="C5" s="32" t="s">
        <v>104</v>
      </c>
      <c r="D5" s="32" t="s">
        <v>105</v>
      </c>
    </row>
    <row r="6" spans="1:4" ht="36.6" customHeight="1" x14ac:dyDescent="0.3">
      <c r="A6" s="30">
        <v>1</v>
      </c>
      <c r="B6" s="26" t="s">
        <v>122</v>
      </c>
      <c r="C6" s="26" t="s">
        <v>123</v>
      </c>
      <c r="D6" s="26" t="s">
        <v>125</v>
      </c>
    </row>
    <row r="7" spans="1:4" ht="37.200000000000003" customHeight="1" x14ac:dyDescent="0.3">
      <c r="A7" s="30">
        <v>2</v>
      </c>
      <c r="B7" s="26" t="s">
        <v>111</v>
      </c>
      <c r="C7" s="26" t="s">
        <v>108</v>
      </c>
      <c r="D7" s="26" t="s">
        <v>124</v>
      </c>
    </row>
    <row r="8" spans="1:4" ht="51" customHeight="1" x14ac:dyDescent="0.3">
      <c r="A8" s="30">
        <v>3</v>
      </c>
      <c r="B8" s="26" t="s">
        <v>109</v>
      </c>
      <c r="C8" s="26" t="s">
        <v>110</v>
      </c>
      <c r="D8" s="26" t="s">
        <v>127</v>
      </c>
    </row>
    <row r="9" spans="1:4" ht="40.950000000000003" customHeight="1" x14ac:dyDescent="0.3">
      <c r="A9" s="30">
        <v>4</v>
      </c>
      <c r="B9" s="26" t="s">
        <v>117</v>
      </c>
      <c r="C9" s="26" t="s">
        <v>118</v>
      </c>
      <c r="D9" s="26" t="s">
        <v>126</v>
      </c>
    </row>
    <row r="10" spans="1:4" ht="61.2" customHeight="1" x14ac:dyDescent="0.3">
      <c r="A10" s="30">
        <v>5</v>
      </c>
      <c r="B10" s="26" t="s">
        <v>113</v>
      </c>
      <c r="C10" s="26" t="s">
        <v>112</v>
      </c>
      <c r="D10" s="26" t="s">
        <v>128</v>
      </c>
    </row>
    <row r="11" spans="1:4" ht="82.2" customHeight="1" x14ac:dyDescent="0.3">
      <c r="A11" s="30">
        <v>6</v>
      </c>
      <c r="B11" s="26" t="s">
        <v>129</v>
      </c>
      <c r="C11" s="26" t="s">
        <v>114</v>
      </c>
      <c r="D11" s="26" t="s">
        <v>178</v>
      </c>
    </row>
    <row r="12" spans="1:4" ht="62.4" x14ac:dyDescent="0.3">
      <c r="A12" s="30">
        <v>7</v>
      </c>
      <c r="B12" s="26" t="s">
        <v>139</v>
      </c>
      <c r="C12" s="26" t="s">
        <v>130</v>
      </c>
      <c r="D12" s="26" t="s">
        <v>131</v>
      </c>
    </row>
    <row r="13" spans="1:4" ht="72" customHeight="1" x14ac:dyDescent="0.3">
      <c r="A13" s="30">
        <v>8</v>
      </c>
      <c r="B13" s="26" t="s">
        <v>115</v>
      </c>
      <c r="C13" s="26" t="s">
        <v>116</v>
      </c>
      <c r="D13" s="26" t="s">
        <v>141</v>
      </c>
    </row>
    <row r="14" spans="1:4" ht="91.2" customHeight="1" x14ac:dyDescent="0.3">
      <c r="A14" s="30">
        <v>9</v>
      </c>
      <c r="B14" s="26" t="s">
        <v>119</v>
      </c>
      <c r="C14" s="26" t="s">
        <v>133</v>
      </c>
      <c r="D14" s="26" t="s">
        <v>142</v>
      </c>
    </row>
    <row r="15" spans="1:4" ht="78" x14ac:dyDescent="0.3">
      <c r="A15" s="30">
        <v>10</v>
      </c>
      <c r="B15" s="26" t="s">
        <v>120</v>
      </c>
      <c r="C15" s="26" t="s">
        <v>132</v>
      </c>
      <c r="D15" s="26" t="s">
        <v>143</v>
      </c>
    </row>
    <row r="16" spans="1:4" ht="108" customHeight="1" x14ac:dyDescent="0.3">
      <c r="A16" s="30">
        <v>11</v>
      </c>
      <c r="B16" s="26" t="s">
        <v>135</v>
      </c>
      <c r="C16" s="26" t="s">
        <v>134</v>
      </c>
      <c r="D16" s="26" t="s">
        <v>140</v>
      </c>
    </row>
    <row r="17" spans="1:4" ht="36" customHeight="1" x14ac:dyDescent="0.3">
      <c r="A17" s="30">
        <v>12</v>
      </c>
      <c r="B17" s="26" t="s">
        <v>136</v>
      </c>
      <c r="C17" s="28" t="s">
        <v>138</v>
      </c>
      <c r="D17" s="28" t="s">
        <v>138</v>
      </c>
    </row>
    <row r="18" spans="1:4" ht="39.6" customHeight="1" x14ac:dyDescent="0.3">
      <c r="A18" s="30">
        <v>13</v>
      </c>
      <c r="B18" s="26" t="s">
        <v>137</v>
      </c>
      <c r="C18" s="28" t="s">
        <v>138</v>
      </c>
      <c r="D18" s="28" t="s">
        <v>138</v>
      </c>
    </row>
    <row r="22" spans="1:4" x14ac:dyDescent="0.3">
      <c r="A22" s="24" t="s">
        <v>144</v>
      </c>
    </row>
    <row r="24" spans="1:4" ht="25.8" x14ac:dyDescent="0.3">
      <c r="B24" s="57" t="s">
        <v>146</v>
      </c>
    </row>
    <row r="26" spans="1:4" x14ac:dyDescent="0.3">
      <c r="A26" s="29">
        <v>1</v>
      </c>
      <c r="B26" s="35" t="s">
        <v>150</v>
      </c>
    </row>
    <row r="27" spans="1:4" x14ac:dyDescent="0.3">
      <c r="A27" s="29">
        <v>2</v>
      </c>
      <c r="B27" s="35" t="s">
        <v>151</v>
      </c>
    </row>
    <row r="28" spans="1:4" x14ac:dyDescent="0.3">
      <c r="A28" s="29">
        <v>3</v>
      </c>
      <c r="B28" s="35" t="s">
        <v>145</v>
      </c>
    </row>
    <row r="29" spans="1:4" x14ac:dyDescent="0.3">
      <c r="B29" s="33"/>
    </row>
    <row r="30" spans="1:4" x14ac:dyDescent="0.3">
      <c r="A30" s="34"/>
    </row>
    <row r="31" spans="1:4" ht="18" x14ac:dyDescent="0.35">
      <c r="A31" s="36" t="s">
        <v>147</v>
      </c>
      <c r="B31" s="37" t="s">
        <v>155</v>
      </c>
      <c r="C31" s="37"/>
    </row>
    <row r="32" spans="1:4" ht="18" x14ac:dyDescent="0.35">
      <c r="A32" s="36" t="s">
        <v>148</v>
      </c>
      <c r="B32" s="37" t="s">
        <v>156</v>
      </c>
      <c r="C32" s="37"/>
    </row>
    <row r="33" spans="1:3" ht="18" x14ac:dyDescent="0.35">
      <c r="A33" s="36" t="s">
        <v>149</v>
      </c>
      <c r="B33" s="37" t="s">
        <v>157</v>
      </c>
      <c r="C33" s="37"/>
    </row>
    <row r="34" spans="1:3" ht="18" x14ac:dyDescent="0.35">
      <c r="A34" s="36" t="s">
        <v>152</v>
      </c>
      <c r="B34" s="37" t="s">
        <v>158</v>
      </c>
      <c r="C34" s="37"/>
    </row>
    <row r="35" spans="1:3" ht="18" x14ac:dyDescent="0.35">
      <c r="A35" s="36" t="s">
        <v>153</v>
      </c>
      <c r="B35" s="37" t="s">
        <v>159</v>
      </c>
      <c r="C35" s="37"/>
    </row>
    <row r="36" spans="1:3" ht="18" x14ac:dyDescent="0.35">
      <c r="A36" s="36" t="s">
        <v>154</v>
      </c>
      <c r="B36" s="37" t="s">
        <v>160</v>
      </c>
      <c r="C36" s="37"/>
    </row>
    <row r="38" spans="1:3" x14ac:dyDescent="0.3">
      <c r="B38" s="116" t="s">
        <v>166</v>
      </c>
      <c r="C38" s="116"/>
    </row>
    <row r="39" spans="1:3" x14ac:dyDescent="0.3">
      <c r="B39" s="116"/>
      <c r="C39" s="116"/>
    </row>
  </sheetData>
  <mergeCells count="2">
    <mergeCell ref="B1:D1"/>
    <mergeCell ref="B38:C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C4645-5EFB-4606-8D4F-39252465CD28}">
  <dimension ref="A1:T73"/>
  <sheetViews>
    <sheetView zoomScaleNormal="100" workbookViewId="0">
      <selection activeCell="R14" sqref="R14"/>
    </sheetView>
  </sheetViews>
  <sheetFormatPr defaultRowHeight="14.4" x14ac:dyDescent="0.3"/>
  <cols>
    <col min="1" max="1" width="6.33203125" customWidth="1"/>
    <col min="7" max="7" width="11.5546875" customWidth="1"/>
    <col min="10" max="10" width="8.88671875" customWidth="1"/>
  </cols>
  <sheetData>
    <row r="1" spans="1:20" s="60" customFormat="1" ht="20.25" customHeight="1" x14ac:dyDescent="0.3">
      <c r="A1" s="124" t="s">
        <v>167</v>
      </c>
      <c r="B1" s="124"/>
      <c r="C1" s="117" t="s">
        <v>168</v>
      </c>
      <c r="D1" s="117"/>
      <c r="E1" s="117"/>
      <c r="F1" s="117"/>
      <c r="G1" s="117"/>
      <c r="H1" s="117"/>
      <c r="I1" s="117"/>
      <c r="J1" s="117"/>
      <c r="K1" s="117"/>
      <c r="L1" s="117"/>
      <c r="M1" s="117"/>
      <c r="N1" s="117"/>
      <c r="O1" s="117"/>
      <c r="P1" s="117"/>
      <c r="Q1" s="117"/>
      <c r="R1" s="117"/>
      <c r="S1" s="117"/>
      <c r="T1" s="117"/>
    </row>
    <row r="2" spans="1:20" s="60" customFormat="1" ht="13.5" customHeight="1" x14ac:dyDescent="0.3">
      <c r="A2" s="124"/>
      <c r="B2" s="124"/>
      <c r="C2" s="118" t="s">
        <v>194</v>
      </c>
      <c r="D2" s="118"/>
      <c r="E2" s="118"/>
      <c r="F2" s="118"/>
      <c r="G2" s="118"/>
      <c r="H2" s="118"/>
      <c r="I2" s="118"/>
      <c r="J2" s="118"/>
      <c r="K2" s="118"/>
      <c r="L2" s="118"/>
      <c r="M2" s="118"/>
      <c r="N2" s="118"/>
      <c r="O2" s="118"/>
      <c r="P2" s="118"/>
      <c r="Q2" s="118"/>
      <c r="R2" s="118"/>
      <c r="S2" s="118"/>
      <c r="T2" s="118"/>
    </row>
    <row r="3" spans="1:20" s="60" customFormat="1" ht="18.75" customHeight="1" x14ac:dyDescent="0.3">
      <c r="A3" s="67"/>
      <c r="B3" s="67"/>
      <c r="C3" s="68"/>
      <c r="D3" s="68"/>
      <c r="E3" s="68"/>
      <c r="F3" s="68"/>
      <c r="G3" s="68"/>
    </row>
    <row r="4" spans="1:20" s="60" customFormat="1" ht="18.75" customHeight="1" x14ac:dyDescent="0.3">
      <c r="A4" s="67"/>
      <c r="B4" s="67"/>
      <c r="C4" s="68"/>
      <c r="D4" s="68"/>
      <c r="E4" s="68"/>
      <c r="F4" s="68"/>
      <c r="G4" s="68"/>
    </row>
    <row r="5" spans="1:20" ht="18.75" customHeight="1" x14ac:dyDescent="0.3"/>
    <row r="6" spans="1:20" s="23" customFormat="1" ht="30" customHeight="1" x14ac:dyDescent="0.4">
      <c r="G6" s="64" t="s">
        <v>175</v>
      </c>
      <c r="H6" s="121" t="s">
        <v>169</v>
      </c>
      <c r="I6" s="121"/>
      <c r="J6" s="121"/>
      <c r="K6" s="121"/>
      <c r="L6" s="121"/>
      <c r="M6" s="121"/>
      <c r="N6" s="65">
        <f>COUNTA(Table5[Complaint ID])</f>
        <v>25</v>
      </c>
      <c r="O6" s="62"/>
    </row>
    <row r="7" spans="1:20" s="23" customFormat="1" ht="30" customHeight="1" x14ac:dyDescent="0.4">
      <c r="G7" s="64" t="s">
        <v>175</v>
      </c>
      <c r="H7" s="122" t="s">
        <v>170</v>
      </c>
      <c r="I7" s="122"/>
      <c r="J7" s="122"/>
      <c r="K7" s="122"/>
      <c r="L7" s="122"/>
      <c r="M7" s="122"/>
      <c r="N7" s="66">
        <f>AVERAGE(Table5[Resolution Days])</f>
        <v>6.32</v>
      </c>
      <c r="O7" s="62"/>
    </row>
    <row r="8" spans="1:20" s="23" customFormat="1" ht="30" customHeight="1" x14ac:dyDescent="0.4">
      <c r="G8" s="64" t="s">
        <v>175</v>
      </c>
      <c r="H8" s="122" t="s">
        <v>171</v>
      </c>
      <c r="I8" s="122"/>
      <c r="J8" s="122"/>
      <c r="K8" s="122"/>
      <c r="L8" s="122"/>
      <c r="M8" s="122"/>
      <c r="N8" s="66">
        <f>AVERAGE(Table5[Satisfaction Score])</f>
        <v>3.32</v>
      </c>
      <c r="O8" s="62"/>
    </row>
    <row r="9" spans="1:20" s="23" customFormat="1" ht="30" customHeight="1" x14ac:dyDescent="0.4">
      <c r="G9" s="64" t="s">
        <v>175</v>
      </c>
      <c r="H9" s="122" t="s">
        <v>172</v>
      </c>
      <c r="I9" s="122"/>
      <c r="J9" s="122"/>
      <c r="K9" s="122"/>
      <c r="L9" s="122"/>
      <c r="M9" s="122"/>
      <c r="N9" s="66">
        <f>COUNTIF(Table5[Resolution Status],"Open")</f>
        <v>3</v>
      </c>
      <c r="O9" s="62"/>
    </row>
    <row r="10" spans="1:20" s="23" customFormat="1" ht="30" customHeight="1" x14ac:dyDescent="0.4">
      <c r="G10" s="64" t="s">
        <v>175</v>
      </c>
      <c r="H10" s="122" t="s">
        <v>173</v>
      </c>
      <c r="I10" s="122"/>
      <c r="J10" s="122"/>
      <c r="K10" s="122"/>
      <c r="L10" s="122"/>
      <c r="M10" s="122"/>
      <c r="N10" s="66">
        <f>COUNTIF(Table5[Resolution Status],"Pending")</f>
        <v>4</v>
      </c>
      <c r="O10" s="62"/>
    </row>
    <row r="11" spans="1:20" s="23" customFormat="1" ht="30" customHeight="1" x14ac:dyDescent="0.4">
      <c r="G11" s="64" t="s">
        <v>175</v>
      </c>
      <c r="H11" s="122" t="s">
        <v>174</v>
      </c>
      <c r="I11" s="122"/>
      <c r="J11" s="122"/>
      <c r="K11" s="122"/>
      <c r="L11" s="122"/>
      <c r="M11" s="122"/>
      <c r="N11" s="66">
        <f>COUNTIF(Table5[Resolution Status],"Closed")</f>
        <v>18</v>
      </c>
      <c r="O11" s="62"/>
    </row>
    <row r="12" spans="1:20" s="23" customFormat="1" ht="18" x14ac:dyDescent="0.35">
      <c r="A12" s="37"/>
      <c r="B12" s="37"/>
      <c r="C12" s="37"/>
      <c r="D12" s="37"/>
      <c r="E12" s="37"/>
      <c r="F12" s="37"/>
      <c r="G12" s="69"/>
      <c r="H12" s="69"/>
      <c r="I12" s="69"/>
      <c r="J12" s="62"/>
      <c r="K12" s="62"/>
      <c r="L12" s="62"/>
      <c r="M12" s="62"/>
      <c r="N12" s="62"/>
      <c r="O12" s="62"/>
    </row>
    <row r="13" spans="1:20" s="23" customFormat="1" ht="18" x14ac:dyDescent="0.35">
      <c r="A13" s="37"/>
      <c r="B13" s="37"/>
      <c r="C13" s="37"/>
      <c r="D13" s="37"/>
      <c r="E13" s="37"/>
      <c r="F13" s="37"/>
      <c r="G13" s="37"/>
      <c r="H13" s="37"/>
      <c r="I13" s="37"/>
    </row>
    <row r="14" spans="1:20" s="23" customFormat="1" ht="18" x14ac:dyDescent="0.35">
      <c r="A14" s="37"/>
      <c r="B14" s="37"/>
      <c r="C14" s="37"/>
      <c r="D14" s="37"/>
      <c r="E14" s="37"/>
      <c r="F14" s="37"/>
      <c r="G14" s="37"/>
      <c r="H14" s="37"/>
      <c r="I14" s="37"/>
    </row>
    <row r="15" spans="1:20" s="23" customFormat="1" ht="18" x14ac:dyDescent="0.35">
      <c r="A15" s="37"/>
      <c r="B15" s="37"/>
      <c r="C15" s="37"/>
      <c r="D15" s="37"/>
      <c r="E15" s="37"/>
      <c r="F15" s="37"/>
      <c r="G15" s="37"/>
      <c r="H15" s="37"/>
      <c r="I15" s="37"/>
    </row>
    <row r="16" spans="1:20" s="23" customFormat="1" ht="15.6" x14ac:dyDescent="0.3"/>
    <row r="17" s="23" customFormat="1" ht="15.6" x14ac:dyDescent="0.3"/>
    <row r="18" s="23" customFormat="1" ht="15.6" x14ac:dyDescent="0.3"/>
    <row r="19" s="23" customFormat="1" ht="15.6" x14ac:dyDescent="0.3"/>
    <row r="50" spans="2:20" ht="18.75" customHeight="1" x14ac:dyDescent="0.3"/>
    <row r="51" spans="2:20" ht="18.75" customHeight="1" x14ac:dyDescent="0.3"/>
    <row r="52" spans="2:20" ht="18.75" customHeight="1" x14ac:dyDescent="0.3"/>
    <row r="53" spans="2:20" ht="21" x14ac:dyDescent="0.4">
      <c r="B53" s="123" t="s">
        <v>177</v>
      </c>
      <c r="C53" s="123"/>
      <c r="D53" s="123"/>
      <c r="E53" s="123"/>
      <c r="F53" s="123"/>
      <c r="G53" s="123"/>
      <c r="H53" s="123"/>
      <c r="I53" s="123"/>
      <c r="J53" s="123"/>
      <c r="K53" s="123"/>
      <c r="L53" s="123"/>
      <c r="M53" s="123"/>
      <c r="N53" s="123"/>
      <c r="O53" s="123"/>
      <c r="P53" s="123"/>
      <c r="Q53" s="123"/>
      <c r="R53" s="123"/>
      <c r="S53" s="123"/>
      <c r="T53" s="123"/>
    </row>
    <row r="54" spans="2:20" s="23" customFormat="1" ht="15.6" x14ac:dyDescent="0.3">
      <c r="B54" s="62"/>
      <c r="C54" s="62"/>
      <c r="D54" s="62"/>
      <c r="E54" s="62"/>
      <c r="F54" s="62"/>
      <c r="G54" s="62"/>
      <c r="H54" s="62"/>
      <c r="I54" s="62"/>
      <c r="J54" s="62"/>
      <c r="K54" s="62"/>
      <c r="L54" s="62"/>
      <c r="M54" s="62"/>
      <c r="N54" s="62"/>
      <c r="O54" s="62"/>
      <c r="P54" s="62"/>
      <c r="Q54" s="62"/>
      <c r="R54" s="62"/>
      <c r="S54" s="62"/>
      <c r="T54" s="62"/>
    </row>
    <row r="55" spans="2:20" s="23" customFormat="1" ht="15.6" customHeight="1" x14ac:dyDescent="0.3">
      <c r="B55" s="120" t="s">
        <v>126</v>
      </c>
      <c r="C55" s="120"/>
      <c r="D55" s="120"/>
      <c r="E55" s="120"/>
      <c r="F55" s="120"/>
      <c r="G55" s="120"/>
      <c r="H55" s="120"/>
      <c r="I55" s="120"/>
      <c r="J55" s="120"/>
      <c r="K55" s="120"/>
      <c r="L55" s="120"/>
      <c r="M55" s="120"/>
      <c r="N55" s="120"/>
      <c r="O55" s="120"/>
      <c r="P55" s="120"/>
      <c r="Q55" s="120"/>
      <c r="R55" s="120"/>
      <c r="S55" s="120"/>
      <c r="T55" s="120"/>
    </row>
    <row r="56" spans="2:20" s="23" customFormat="1" ht="15.6" x14ac:dyDescent="0.3">
      <c r="B56" s="62"/>
      <c r="C56" s="62"/>
      <c r="D56" s="62"/>
      <c r="E56" s="62"/>
      <c r="F56" s="62"/>
      <c r="G56" s="62"/>
      <c r="H56" s="62"/>
      <c r="I56" s="62"/>
      <c r="J56" s="62"/>
      <c r="K56" s="62"/>
      <c r="L56" s="62"/>
      <c r="M56" s="62"/>
      <c r="N56" s="62"/>
      <c r="O56" s="62"/>
      <c r="P56" s="62"/>
      <c r="Q56" s="62"/>
      <c r="R56" s="62"/>
      <c r="S56" s="62"/>
      <c r="T56" s="62"/>
    </row>
    <row r="57" spans="2:20" s="23" customFormat="1" ht="15.6" x14ac:dyDescent="0.3">
      <c r="B57" s="120" t="s">
        <v>179</v>
      </c>
      <c r="C57" s="120"/>
      <c r="D57" s="120"/>
      <c r="E57" s="120"/>
      <c r="F57" s="120"/>
      <c r="G57" s="120"/>
      <c r="H57" s="120"/>
      <c r="I57" s="120"/>
      <c r="J57" s="120"/>
      <c r="K57" s="120"/>
      <c r="L57" s="120"/>
      <c r="M57" s="120"/>
      <c r="N57" s="120"/>
      <c r="O57" s="120"/>
      <c r="P57" s="120"/>
      <c r="Q57" s="120"/>
      <c r="R57" s="120"/>
      <c r="S57" s="120"/>
      <c r="T57" s="120"/>
    </row>
    <row r="58" spans="2:20" s="23" customFormat="1" ht="14.4" customHeight="1" x14ac:dyDescent="0.3">
      <c r="B58" s="120"/>
      <c r="C58" s="120"/>
      <c r="D58" s="120"/>
      <c r="E58" s="120"/>
      <c r="F58" s="120"/>
      <c r="G58" s="120"/>
      <c r="H58" s="120"/>
      <c r="I58" s="120"/>
      <c r="J58" s="120"/>
      <c r="K58" s="120"/>
      <c r="L58" s="120"/>
      <c r="M58" s="120"/>
      <c r="N58" s="120"/>
      <c r="O58" s="120"/>
      <c r="P58" s="120"/>
      <c r="Q58" s="120"/>
      <c r="R58" s="120"/>
      <c r="S58" s="120"/>
      <c r="T58" s="120"/>
    </row>
    <row r="59" spans="2:20" s="23" customFormat="1" ht="15.6" x14ac:dyDescent="0.3">
      <c r="B59" s="63"/>
      <c r="C59" s="63"/>
      <c r="D59" s="63"/>
      <c r="E59" s="63"/>
      <c r="F59" s="63"/>
      <c r="G59" s="63"/>
      <c r="H59" s="63"/>
      <c r="I59" s="63"/>
      <c r="J59" s="63"/>
      <c r="K59" s="63"/>
      <c r="L59" s="63"/>
      <c r="M59" s="63"/>
      <c r="N59" s="63"/>
      <c r="O59" s="63"/>
      <c r="P59" s="63"/>
      <c r="Q59" s="63"/>
      <c r="R59" s="63"/>
      <c r="S59" s="63"/>
      <c r="T59" s="63"/>
    </row>
    <row r="60" spans="2:20" s="23" customFormat="1" ht="14.4" customHeight="1" x14ac:dyDescent="0.3">
      <c r="B60" s="120" t="s">
        <v>180</v>
      </c>
      <c r="C60" s="120"/>
      <c r="D60" s="120"/>
      <c r="E60" s="120"/>
      <c r="F60" s="120"/>
      <c r="G60" s="120"/>
      <c r="H60" s="120"/>
      <c r="I60" s="120"/>
      <c r="J60" s="120"/>
      <c r="K60" s="120"/>
      <c r="L60" s="120"/>
      <c r="M60" s="120"/>
      <c r="N60" s="120"/>
      <c r="O60" s="120"/>
      <c r="P60" s="120"/>
      <c r="Q60" s="120"/>
      <c r="R60" s="120"/>
      <c r="S60" s="120"/>
      <c r="T60" s="120"/>
    </row>
    <row r="61" spans="2:20" s="23" customFormat="1" ht="15.6" x14ac:dyDescent="0.3">
      <c r="B61" s="120"/>
      <c r="C61" s="120"/>
      <c r="D61" s="120"/>
      <c r="E61" s="120"/>
      <c r="F61" s="120"/>
      <c r="G61" s="120"/>
      <c r="H61" s="120"/>
      <c r="I61" s="120"/>
      <c r="J61" s="120"/>
      <c r="K61" s="120"/>
      <c r="L61" s="120"/>
      <c r="M61" s="120"/>
      <c r="N61" s="120"/>
      <c r="O61" s="120"/>
      <c r="P61" s="120"/>
      <c r="Q61" s="120"/>
      <c r="R61" s="120"/>
      <c r="S61" s="120"/>
      <c r="T61" s="120"/>
    </row>
    <row r="62" spans="2:20" s="23" customFormat="1" ht="15.6" x14ac:dyDescent="0.3">
      <c r="B62" s="120"/>
      <c r="C62" s="120"/>
      <c r="D62" s="120"/>
      <c r="E62" s="120"/>
      <c r="F62" s="120"/>
      <c r="G62" s="120"/>
      <c r="H62" s="120"/>
      <c r="I62" s="120"/>
      <c r="J62" s="120"/>
      <c r="K62" s="120"/>
      <c r="L62" s="120"/>
      <c r="M62" s="120"/>
      <c r="N62" s="120"/>
      <c r="O62" s="120"/>
      <c r="P62" s="120"/>
      <c r="Q62" s="120"/>
      <c r="R62" s="120"/>
      <c r="S62" s="120"/>
      <c r="T62" s="120"/>
    </row>
    <row r="63" spans="2:20" s="23" customFormat="1" ht="15.6" x14ac:dyDescent="0.3">
      <c r="B63" s="62"/>
      <c r="C63" s="62"/>
      <c r="D63" s="62"/>
      <c r="E63" s="62"/>
      <c r="F63" s="62"/>
      <c r="G63" s="62"/>
      <c r="H63" s="62"/>
      <c r="I63" s="62"/>
      <c r="J63" s="62"/>
      <c r="K63" s="62"/>
      <c r="L63" s="62"/>
      <c r="M63" s="62"/>
      <c r="N63" s="62"/>
      <c r="O63" s="62"/>
      <c r="P63" s="62"/>
      <c r="Q63" s="62"/>
      <c r="R63" s="62"/>
      <c r="S63" s="62"/>
      <c r="T63" s="62"/>
    </row>
    <row r="64" spans="2:20" s="23" customFormat="1" ht="15.6" x14ac:dyDescent="0.3">
      <c r="B64" s="119" t="s">
        <v>181</v>
      </c>
      <c r="C64" s="119"/>
      <c r="D64" s="119"/>
      <c r="E64" s="119"/>
      <c r="F64" s="119"/>
      <c r="G64" s="119"/>
      <c r="H64" s="119"/>
      <c r="I64" s="119"/>
      <c r="J64" s="119"/>
      <c r="K64" s="119"/>
      <c r="L64" s="119"/>
      <c r="M64" s="119"/>
      <c r="N64" s="119"/>
      <c r="O64" s="119"/>
      <c r="P64" s="119"/>
      <c r="Q64" s="119"/>
      <c r="R64" s="119"/>
      <c r="S64" s="119"/>
      <c r="T64" s="119"/>
    </row>
    <row r="65" spans="2:20" s="23" customFormat="1" ht="15.6" x14ac:dyDescent="0.3">
      <c r="B65" s="119"/>
      <c r="C65" s="119"/>
      <c r="D65" s="119"/>
      <c r="E65" s="119"/>
      <c r="F65" s="119"/>
      <c r="G65" s="119"/>
      <c r="H65" s="119"/>
      <c r="I65" s="119"/>
      <c r="J65" s="119"/>
      <c r="K65" s="119"/>
      <c r="L65" s="119"/>
      <c r="M65" s="119"/>
      <c r="N65" s="119"/>
      <c r="O65" s="119"/>
      <c r="P65" s="119"/>
      <c r="Q65" s="119"/>
      <c r="R65" s="119"/>
      <c r="S65" s="119"/>
      <c r="T65" s="119"/>
    </row>
    <row r="66" spans="2:20" s="23" customFormat="1" ht="15.6" x14ac:dyDescent="0.3">
      <c r="B66" s="62"/>
      <c r="C66" s="62"/>
      <c r="D66" s="62"/>
      <c r="E66" s="62"/>
      <c r="F66" s="62"/>
      <c r="G66" s="62"/>
      <c r="H66" s="62"/>
      <c r="I66" s="62"/>
      <c r="J66" s="62"/>
      <c r="K66" s="62"/>
      <c r="L66" s="62"/>
      <c r="M66" s="62"/>
      <c r="N66" s="62"/>
      <c r="O66" s="62"/>
      <c r="P66" s="62"/>
      <c r="Q66" s="62"/>
      <c r="R66" s="62"/>
      <c r="S66" s="62"/>
      <c r="T66" s="62"/>
    </row>
    <row r="67" spans="2:20" s="23" customFormat="1" ht="15.6" x14ac:dyDescent="0.3"/>
    <row r="68" spans="2:20" s="23" customFormat="1" ht="15.6" x14ac:dyDescent="0.3"/>
    <row r="69" spans="2:20" s="23" customFormat="1" ht="15.6" x14ac:dyDescent="0.3"/>
    <row r="70" spans="2:20" s="23" customFormat="1" ht="15.6" x14ac:dyDescent="0.3"/>
    <row r="71" spans="2:20" s="23" customFormat="1" ht="15.6" x14ac:dyDescent="0.3"/>
    <row r="72" spans="2:20" s="23" customFormat="1" ht="15.6" x14ac:dyDescent="0.3"/>
    <row r="73" spans="2:20" s="23" customFormat="1" ht="15.6" x14ac:dyDescent="0.3"/>
  </sheetData>
  <mergeCells count="14">
    <mergeCell ref="C1:T1"/>
    <mergeCell ref="C2:T2"/>
    <mergeCell ref="B64:T65"/>
    <mergeCell ref="B55:T55"/>
    <mergeCell ref="H6:M6"/>
    <mergeCell ref="H7:M7"/>
    <mergeCell ref="H8:M8"/>
    <mergeCell ref="H9:M9"/>
    <mergeCell ref="H10:M10"/>
    <mergeCell ref="H11:M11"/>
    <mergeCell ref="B53:T53"/>
    <mergeCell ref="B57:T58"/>
    <mergeCell ref="B60:T62"/>
    <mergeCell ref="A1:B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F7704-AB30-43A6-9F0D-9AB7958940A2}">
  <dimension ref="A1:S105"/>
  <sheetViews>
    <sheetView tabSelected="1" workbookViewId="0">
      <selection activeCell="C1" sqref="C1:S1"/>
    </sheetView>
  </sheetViews>
  <sheetFormatPr defaultRowHeight="14.4" x14ac:dyDescent="0.3"/>
  <sheetData>
    <row r="1" spans="1:19" ht="30" customHeight="1" x14ac:dyDescent="0.3">
      <c r="A1" s="124" t="s">
        <v>182</v>
      </c>
      <c r="B1" s="124"/>
      <c r="C1" s="117" t="s">
        <v>183</v>
      </c>
      <c r="D1" s="117"/>
      <c r="E1" s="117"/>
      <c r="F1" s="117"/>
      <c r="G1" s="117"/>
      <c r="H1" s="117"/>
      <c r="I1" s="117"/>
      <c r="J1" s="117"/>
      <c r="K1" s="117"/>
      <c r="L1" s="117"/>
      <c r="M1" s="117"/>
      <c r="N1" s="117"/>
      <c r="O1" s="117"/>
      <c r="P1" s="117"/>
      <c r="Q1" s="117"/>
      <c r="R1" s="117"/>
      <c r="S1" s="117"/>
    </row>
    <row r="2" spans="1:19" s="23" customFormat="1" ht="15.6" x14ac:dyDescent="0.3"/>
    <row r="3" spans="1:19" s="23" customFormat="1" ht="15.6" x14ac:dyDescent="0.3"/>
    <row r="4" spans="1:19" s="23" customFormat="1" ht="15.6" x14ac:dyDescent="0.3"/>
    <row r="5" spans="1:19" s="23" customFormat="1" ht="21" x14ac:dyDescent="0.3">
      <c r="B5" s="73" t="s">
        <v>184</v>
      </c>
    </row>
    <row r="6" spans="1:19" s="23" customFormat="1" ht="15.6" x14ac:dyDescent="0.3">
      <c r="B6" s="70"/>
    </row>
    <row r="7" spans="1:19" s="23" customFormat="1" ht="15.6" x14ac:dyDescent="0.3">
      <c r="B7" s="71" t="s">
        <v>188</v>
      </c>
    </row>
    <row r="8" spans="1:19" s="23" customFormat="1" ht="15.6" x14ac:dyDescent="0.3">
      <c r="B8" s="23" t="s">
        <v>189</v>
      </c>
    </row>
    <row r="9" spans="1:19" s="23" customFormat="1" ht="15.6" x14ac:dyDescent="0.3"/>
    <row r="10" spans="1:19" s="23" customFormat="1" ht="15.6" x14ac:dyDescent="0.3">
      <c r="B10" s="71" t="s">
        <v>190</v>
      </c>
    </row>
    <row r="11" spans="1:19" s="23" customFormat="1" ht="15.6" x14ac:dyDescent="0.3">
      <c r="B11" s="71" t="s">
        <v>191</v>
      </c>
    </row>
    <row r="12" spans="1:19" s="23" customFormat="1" ht="15.6" x14ac:dyDescent="0.3"/>
    <row r="13" spans="1:19" s="23" customFormat="1" ht="15.6" x14ac:dyDescent="0.3">
      <c r="B13" s="71" t="s">
        <v>192</v>
      </c>
    </row>
    <row r="14" spans="1:19" s="23" customFormat="1" ht="15.6" x14ac:dyDescent="0.3">
      <c r="B14" s="23" t="s">
        <v>193</v>
      </c>
    </row>
    <row r="15" spans="1:19" s="23" customFormat="1" ht="15.6" x14ac:dyDescent="0.3"/>
    <row r="16" spans="1:19" s="23" customFormat="1" ht="15.6" x14ac:dyDescent="0.3"/>
    <row r="17" spans="1:19" s="23" customFormat="1" ht="15.6" x14ac:dyDescent="0.3"/>
    <row r="18" spans="1:19" s="23" customFormat="1" ht="21" x14ac:dyDescent="0.3">
      <c r="B18" s="73" t="s">
        <v>185</v>
      </c>
    </row>
    <row r="19" spans="1:19" s="23" customFormat="1" ht="15.75" customHeight="1" x14ac:dyDescent="0.3">
      <c r="B19" s="70"/>
    </row>
    <row r="20" spans="1:19" s="23" customFormat="1" ht="15.75" customHeight="1" x14ac:dyDescent="0.3">
      <c r="A20" s="76" t="s">
        <v>175</v>
      </c>
      <c r="B20" s="128" t="s">
        <v>208</v>
      </c>
      <c r="C20" s="128"/>
      <c r="D20" s="128"/>
      <c r="E20" s="128"/>
      <c r="F20" s="128"/>
      <c r="G20" s="128"/>
      <c r="H20" s="128"/>
      <c r="I20" s="128"/>
      <c r="J20" s="128"/>
      <c r="K20" s="128"/>
      <c r="L20" s="128"/>
      <c r="M20" s="128"/>
      <c r="N20" s="128"/>
      <c r="O20" s="128"/>
      <c r="P20" s="128"/>
      <c r="Q20" s="128"/>
      <c r="R20" s="128"/>
      <c r="S20" s="128"/>
    </row>
    <row r="21" spans="1:19" s="23" customFormat="1" ht="15.75" customHeight="1" x14ac:dyDescent="0.3">
      <c r="A21" s="76"/>
      <c r="B21" s="13"/>
      <c r="C21" s="13"/>
      <c r="D21" s="13"/>
      <c r="E21" s="13"/>
      <c r="F21" s="13"/>
      <c r="G21" s="13"/>
      <c r="H21" s="13"/>
      <c r="I21" s="13"/>
      <c r="J21" s="13"/>
      <c r="K21" s="13"/>
      <c r="L21" s="13"/>
      <c r="M21" s="13"/>
      <c r="N21" s="13"/>
      <c r="O21" s="13"/>
      <c r="P21" s="13"/>
      <c r="Q21" s="13"/>
      <c r="R21" s="13"/>
      <c r="S21" s="13"/>
    </row>
    <row r="22" spans="1:19" s="23" customFormat="1" ht="15.75" customHeight="1" x14ac:dyDescent="0.3">
      <c r="A22" s="76" t="s">
        <v>175</v>
      </c>
      <c r="B22" s="127" t="s">
        <v>207</v>
      </c>
      <c r="C22" s="127"/>
      <c r="D22" s="127"/>
      <c r="E22" s="127"/>
      <c r="F22" s="127"/>
      <c r="G22" s="127"/>
      <c r="H22" s="127"/>
      <c r="I22" s="127"/>
      <c r="J22" s="127"/>
      <c r="K22" s="127"/>
      <c r="L22" s="127"/>
      <c r="M22" s="127"/>
      <c r="N22" s="127"/>
      <c r="O22" s="127"/>
      <c r="P22" s="127"/>
      <c r="Q22" s="127"/>
      <c r="R22" s="127"/>
      <c r="S22" s="127"/>
    </row>
    <row r="23" spans="1:19" s="23" customFormat="1" ht="15.75" customHeight="1" x14ac:dyDescent="0.3">
      <c r="A23" s="76"/>
    </row>
    <row r="24" spans="1:19" s="23" customFormat="1" ht="15.75" customHeight="1" x14ac:dyDescent="0.3">
      <c r="A24" s="76" t="s">
        <v>175</v>
      </c>
      <c r="B24" s="125" t="s">
        <v>209</v>
      </c>
      <c r="C24" s="125"/>
      <c r="D24" s="125"/>
      <c r="E24" s="125"/>
      <c r="F24" s="125"/>
      <c r="G24" s="125"/>
      <c r="H24" s="125"/>
      <c r="I24" s="125"/>
      <c r="J24" s="125"/>
      <c r="K24" s="125"/>
      <c r="L24" s="125"/>
      <c r="M24" s="125"/>
      <c r="N24" s="125"/>
      <c r="O24" s="125"/>
      <c r="P24" s="125"/>
      <c r="Q24" s="125"/>
      <c r="R24" s="125"/>
      <c r="S24" s="125"/>
    </row>
    <row r="25" spans="1:19" s="23" customFormat="1" ht="15.75" customHeight="1" x14ac:dyDescent="0.3">
      <c r="A25" s="76"/>
      <c r="B25" s="125"/>
      <c r="C25" s="125"/>
      <c r="D25" s="125"/>
      <c r="E25" s="125"/>
      <c r="F25" s="125"/>
      <c r="G25" s="125"/>
      <c r="H25" s="125"/>
      <c r="I25" s="125"/>
      <c r="J25" s="125"/>
      <c r="K25" s="125"/>
      <c r="L25" s="125"/>
      <c r="M25" s="125"/>
      <c r="N25" s="125"/>
      <c r="O25" s="125"/>
      <c r="P25" s="125"/>
      <c r="Q25" s="125"/>
      <c r="R25" s="125"/>
      <c r="S25" s="125"/>
    </row>
    <row r="26" spans="1:19" s="23" customFormat="1" ht="15.75" customHeight="1" x14ac:dyDescent="0.3">
      <c r="A26" s="76"/>
      <c r="B26" s="13"/>
      <c r="C26" s="13"/>
      <c r="D26" s="13"/>
      <c r="E26" s="13"/>
      <c r="F26" s="13"/>
      <c r="G26" s="13"/>
      <c r="H26" s="13"/>
      <c r="I26" s="13"/>
      <c r="J26" s="13"/>
      <c r="K26" s="13"/>
      <c r="L26" s="13"/>
      <c r="M26" s="13"/>
      <c r="N26" s="13"/>
      <c r="O26" s="13"/>
    </row>
    <row r="27" spans="1:19" s="23" customFormat="1" ht="15.75" customHeight="1" x14ac:dyDescent="0.3">
      <c r="A27" s="76" t="s">
        <v>175</v>
      </c>
      <c r="B27" s="125" t="s">
        <v>195</v>
      </c>
      <c r="C27" s="125"/>
      <c r="D27" s="125"/>
      <c r="E27" s="125"/>
      <c r="F27" s="125"/>
      <c r="G27" s="125"/>
      <c r="H27" s="125"/>
      <c r="I27" s="125"/>
      <c r="J27" s="125"/>
      <c r="K27" s="125"/>
      <c r="L27" s="125"/>
      <c r="M27" s="125"/>
      <c r="N27" s="125"/>
      <c r="O27" s="125"/>
      <c r="P27" s="125"/>
      <c r="Q27" s="125"/>
      <c r="R27" s="125"/>
      <c r="S27" s="125"/>
    </row>
    <row r="28" spans="1:19" s="23" customFormat="1" ht="15.75" customHeight="1" x14ac:dyDescent="0.3">
      <c r="A28" s="76"/>
      <c r="B28" s="125"/>
      <c r="C28" s="125"/>
      <c r="D28" s="125"/>
      <c r="E28" s="125"/>
      <c r="F28" s="125"/>
      <c r="G28" s="125"/>
      <c r="H28" s="125"/>
      <c r="I28" s="125"/>
      <c r="J28" s="125"/>
      <c r="K28" s="125"/>
      <c r="L28" s="125"/>
      <c r="M28" s="125"/>
      <c r="N28" s="125"/>
      <c r="O28" s="125"/>
      <c r="P28" s="125"/>
      <c r="Q28" s="125"/>
      <c r="R28" s="125"/>
      <c r="S28" s="125"/>
    </row>
    <row r="29" spans="1:19" s="23" customFormat="1" ht="15.75" customHeight="1" x14ac:dyDescent="0.3">
      <c r="A29" s="76"/>
      <c r="B29" s="125"/>
      <c r="C29" s="125"/>
      <c r="D29" s="125"/>
      <c r="E29" s="125"/>
      <c r="F29" s="125"/>
      <c r="G29" s="125"/>
      <c r="H29" s="125"/>
      <c r="I29" s="125"/>
      <c r="J29" s="125"/>
      <c r="K29" s="125"/>
      <c r="L29" s="125"/>
      <c r="M29" s="125"/>
      <c r="N29" s="125"/>
      <c r="O29" s="125"/>
      <c r="P29" s="125"/>
      <c r="Q29" s="125"/>
      <c r="R29" s="125"/>
      <c r="S29" s="125"/>
    </row>
    <row r="30" spans="1:19" s="23" customFormat="1" ht="15.75" customHeight="1" x14ac:dyDescent="0.3">
      <c r="A30" s="76"/>
      <c r="B30" s="75"/>
      <c r="C30" s="75"/>
      <c r="D30" s="75"/>
      <c r="E30" s="75"/>
      <c r="F30" s="75"/>
      <c r="G30" s="75"/>
      <c r="H30" s="75"/>
      <c r="I30" s="75"/>
      <c r="J30" s="75"/>
      <c r="K30" s="75"/>
      <c r="L30" s="75"/>
      <c r="M30" s="75"/>
      <c r="N30" s="75"/>
      <c r="O30" s="75"/>
    </row>
    <row r="31" spans="1:19" s="23" customFormat="1" ht="15.75" customHeight="1" x14ac:dyDescent="0.3">
      <c r="A31" s="76" t="s">
        <v>175</v>
      </c>
      <c r="B31" s="125" t="s">
        <v>196</v>
      </c>
      <c r="C31" s="125"/>
      <c r="D31" s="125"/>
      <c r="E31" s="125"/>
      <c r="F31" s="125"/>
      <c r="G31" s="125"/>
      <c r="H31" s="125"/>
      <c r="I31" s="125"/>
      <c r="J31" s="125"/>
      <c r="K31" s="125"/>
      <c r="L31" s="125"/>
      <c r="M31" s="125"/>
      <c r="N31" s="125"/>
      <c r="O31" s="125"/>
      <c r="P31" s="125"/>
      <c r="Q31" s="125"/>
      <c r="R31" s="125"/>
      <c r="S31" s="125"/>
    </row>
    <row r="32" spans="1:19" s="23" customFormat="1" ht="15.75" customHeight="1" x14ac:dyDescent="0.3">
      <c r="A32" s="76"/>
      <c r="B32" s="125"/>
      <c r="C32" s="125"/>
      <c r="D32" s="125"/>
      <c r="E32" s="125"/>
      <c r="F32" s="125"/>
      <c r="G32" s="125"/>
      <c r="H32" s="125"/>
      <c r="I32" s="125"/>
      <c r="J32" s="125"/>
      <c r="K32" s="125"/>
      <c r="L32" s="125"/>
      <c r="M32" s="125"/>
      <c r="N32" s="125"/>
      <c r="O32" s="125"/>
      <c r="P32" s="125"/>
      <c r="Q32" s="125"/>
      <c r="R32" s="125"/>
      <c r="S32" s="125"/>
    </row>
    <row r="33" spans="1:19" s="23" customFormat="1" ht="15.75" customHeight="1" x14ac:dyDescent="0.3">
      <c r="B33" s="70"/>
    </row>
    <row r="34" spans="1:19" s="23" customFormat="1" ht="15.75" customHeight="1" x14ac:dyDescent="0.3">
      <c r="B34" s="70"/>
    </row>
    <row r="35" spans="1:19" s="23" customFormat="1" ht="15.75" customHeight="1" x14ac:dyDescent="0.3">
      <c r="B35" s="70"/>
    </row>
    <row r="36" spans="1:19" s="23" customFormat="1" ht="21" x14ac:dyDescent="0.3">
      <c r="B36" s="73" t="s">
        <v>186</v>
      </c>
    </row>
    <row r="37" spans="1:19" s="23" customFormat="1" ht="15.6" x14ac:dyDescent="0.3">
      <c r="B37" s="72"/>
    </row>
    <row r="38" spans="1:19" s="23" customFormat="1" ht="15.6" x14ac:dyDescent="0.3">
      <c r="A38" s="76" t="s">
        <v>175</v>
      </c>
      <c r="B38" s="74" t="s">
        <v>197</v>
      </c>
    </row>
    <row r="39" spans="1:19" s="23" customFormat="1" ht="15.6" x14ac:dyDescent="0.3">
      <c r="B39" s="74"/>
    </row>
    <row r="40" spans="1:19" s="23" customFormat="1" ht="15.6" x14ac:dyDescent="0.3">
      <c r="A40" s="76" t="s">
        <v>175</v>
      </c>
      <c r="B40" s="74" t="s">
        <v>200</v>
      </c>
    </row>
    <row r="41" spans="1:19" s="23" customFormat="1" ht="15.6" x14ac:dyDescent="0.3">
      <c r="B41" s="74"/>
    </row>
    <row r="42" spans="1:19" s="23" customFormat="1" ht="15.6" x14ac:dyDescent="0.3">
      <c r="A42" s="76" t="s">
        <v>175</v>
      </c>
      <c r="B42" s="125" t="s">
        <v>198</v>
      </c>
      <c r="C42" s="125"/>
      <c r="D42" s="125"/>
      <c r="E42" s="125"/>
      <c r="F42" s="125"/>
      <c r="G42" s="125"/>
      <c r="H42" s="125"/>
      <c r="I42" s="125"/>
      <c r="J42" s="125"/>
      <c r="K42" s="125"/>
      <c r="L42" s="125"/>
      <c r="M42" s="74"/>
      <c r="N42" s="74"/>
      <c r="O42" s="74"/>
      <c r="P42" s="74"/>
      <c r="Q42" s="74"/>
      <c r="R42" s="74"/>
      <c r="S42" s="74"/>
    </row>
    <row r="43" spans="1:19" s="23" customFormat="1" ht="15.6" x14ac:dyDescent="0.3">
      <c r="A43" s="76"/>
      <c r="B43" s="125"/>
      <c r="C43" s="125"/>
      <c r="D43" s="125"/>
      <c r="E43" s="125"/>
      <c r="F43" s="125"/>
      <c r="G43" s="125"/>
      <c r="H43" s="125"/>
      <c r="I43" s="125"/>
      <c r="J43" s="125"/>
      <c r="K43" s="125"/>
      <c r="L43" s="125"/>
      <c r="M43" s="74"/>
      <c r="N43" s="74"/>
      <c r="O43" s="74"/>
      <c r="P43" s="74"/>
      <c r="Q43" s="74"/>
      <c r="R43" s="74"/>
      <c r="S43" s="74"/>
    </row>
    <row r="44" spans="1:19" s="23" customFormat="1" ht="15.6" x14ac:dyDescent="0.3">
      <c r="B44" s="74"/>
    </row>
    <row r="45" spans="1:19" s="23" customFormat="1" ht="15.6" x14ac:dyDescent="0.3">
      <c r="A45" s="76" t="s">
        <v>175</v>
      </c>
      <c r="B45" s="74" t="s">
        <v>202</v>
      </c>
    </row>
    <row r="46" spans="1:19" s="23" customFormat="1" ht="15.6" x14ac:dyDescent="0.3">
      <c r="B46" s="74"/>
    </row>
    <row r="47" spans="1:19" s="23" customFormat="1" ht="15.6" x14ac:dyDescent="0.3">
      <c r="A47" s="76" t="s">
        <v>175</v>
      </c>
      <c r="B47" s="74" t="s">
        <v>199</v>
      </c>
    </row>
    <row r="48" spans="1:19" s="23" customFormat="1" ht="15.6" x14ac:dyDescent="0.3">
      <c r="B48" s="72"/>
    </row>
    <row r="49" spans="1:13" s="23" customFormat="1" ht="15.6" x14ac:dyDescent="0.3">
      <c r="B49" s="72"/>
    </row>
    <row r="50" spans="1:13" s="23" customFormat="1" ht="15.6" x14ac:dyDescent="0.3"/>
    <row r="51" spans="1:13" s="23" customFormat="1" ht="21" x14ac:dyDescent="0.3">
      <c r="B51" s="73" t="s">
        <v>187</v>
      </c>
    </row>
    <row r="52" spans="1:13" s="23" customFormat="1" ht="15.6" x14ac:dyDescent="0.3"/>
    <row r="53" spans="1:13" s="23" customFormat="1" ht="15.6" x14ac:dyDescent="0.3">
      <c r="B53" s="23" t="s">
        <v>206</v>
      </c>
    </row>
    <row r="54" spans="1:13" s="23" customFormat="1" ht="15.6" x14ac:dyDescent="0.3"/>
    <row r="55" spans="1:13" s="23" customFormat="1" ht="15.6" x14ac:dyDescent="0.3">
      <c r="A55" s="76" t="s">
        <v>175</v>
      </c>
      <c r="B55" s="23" t="s">
        <v>203</v>
      </c>
    </row>
    <row r="56" spans="1:13" s="23" customFormat="1" ht="15.6" x14ac:dyDescent="0.3">
      <c r="A56" s="76"/>
    </row>
    <row r="57" spans="1:13" s="23" customFormat="1" ht="15.6" x14ac:dyDescent="0.3">
      <c r="A57" s="76" t="s">
        <v>175</v>
      </c>
      <c r="B57" s="23" t="s">
        <v>201</v>
      </c>
    </row>
    <row r="58" spans="1:13" s="23" customFormat="1" ht="15.6" x14ac:dyDescent="0.3">
      <c r="A58" s="76"/>
    </row>
    <row r="59" spans="1:13" s="23" customFormat="1" ht="15.6" x14ac:dyDescent="0.3">
      <c r="A59" s="76" t="s">
        <v>175</v>
      </c>
      <c r="B59" s="126" t="s">
        <v>204</v>
      </c>
      <c r="C59" s="126"/>
      <c r="D59" s="126"/>
      <c r="E59" s="126"/>
      <c r="F59" s="126"/>
      <c r="G59" s="126"/>
      <c r="H59" s="126"/>
      <c r="I59" s="126"/>
      <c r="J59" s="126"/>
      <c r="K59" s="126"/>
      <c r="L59" s="126"/>
      <c r="M59" s="126"/>
    </row>
    <row r="60" spans="1:13" s="23" customFormat="1" ht="15.6" x14ac:dyDescent="0.3">
      <c r="A60" s="76"/>
      <c r="B60" s="126"/>
      <c r="C60" s="126"/>
      <c r="D60" s="126"/>
      <c r="E60" s="126"/>
      <c r="F60" s="126"/>
      <c r="G60" s="126"/>
      <c r="H60" s="126"/>
      <c r="I60" s="126"/>
      <c r="J60" s="126"/>
      <c r="K60" s="126"/>
      <c r="L60" s="126"/>
      <c r="M60" s="126"/>
    </row>
    <row r="61" spans="1:13" s="23" customFormat="1" ht="15.6" x14ac:dyDescent="0.3">
      <c r="A61" s="76"/>
      <c r="B61" s="77"/>
      <c r="C61" s="77"/>
      <c r="D61" s="77"/>
      <c r="E61" s="77"/>
      <c r="F61" s="77"/>
      <c r="G61" s="77"/>
      <c r="H61" s="77"/>
      <c r="I61" s="77"/>
      <c r="J61" s="77"/>
      <c r="K61" s="77"/>
      <c r="L61" s="77"/>
      <c r="M61" s="77"/>
    </row>
    <row r="62" spans="1:13" s="23" customFormat="1" ht="15.6" x14ac:dyDescent="0.3">
      <c r="A62" s="76" t="s">
        <v>175</v>
      </c>
      <c r="B62" s="125" t="s">
        <v>210</v>
      </c>
      <c r="C62" s="125"/>
      <c r="D62" s="125"/>
      <c r="E62" s="125"/>
      <c r="F62" s="125"/>
      <c r="G62" s="125"/>
      <c r="H62" s="125"/>
      <c r="I62" s="125"/>
      <c r="J62" s="125"/>
      <c r="K62" s="125"/>
      <c r="L62" s="125"/>
      <c r="M62" s="125"/>
    </row>
    <row r="63" spans="1:13" s="23" customFormat="1" ht="15.6" x14ac:dyDescent="0.3">
      <c r="A63" s="76"/>
      <c r="B63" s="125"/>
      <c r="C63" s="125"/>
      <c r="D63" s="125"/>
      <c r="E63" s="125"/>
      <c r="F63" s="125"/>
      <c r="G63" s="125"/>
      <c r="H63" s="125"/>
      <c r="I63" s="125"/>
      <c r="J63" s="125"/>
      <c r="K63" s="125"/>
      <c r="L63" s="125"/>
      <c r="M63" s="125"/>
    </row>
    <row r="64" spans="1:13" s="23" customFormat="1" ht="15.6" x14ac:dyDescent="0.3">
      <c r="A64" s="76"/>
      <c r="B64" s="75"/>
      <c r="C64" s="75"/>
      <c r="D64" s="75"/>
      <c r="E64" s="75"/>
      <c r="F64" s="75"/>
      <c r="G64" s="75"/>
      <c r="H64" s="75"/>
      <c r="I64" s="75"/>
      <c r="J64" s="75"/>
      <c r="K64" s="75"/>
      <c r="L64" s="75"/>
      <c r="M64" s="75"/>
    </row>
    <row r="65" spans="1:2" s="23" customFormat="1" ht="15.6" x14ac:dyDescent="0.3">
      <c r="A65" s="76" t="s">
        <v>175</v>
      </c>
      <c r="B65" s="23" t="s">
        <v>205</v>
      </c>
    </row>
    <row r="66" spans="1:2" s="23" customFormat="1" ht="15.6" x14ac:dyDescent="0.3"/>
    <row r="67" spans="1:2" s="23" customFormat="1" ht="15.6" x14ac:dyDescent="0.3"/>
    <row r="68" spans="1:2" s="23" customFormat="1" ht="15.6" x14ac:dyDescent="0.3"/>
    <row r="69" spans="1:2" s="23" customFormat="1" ht="15.6" x14ac:dyDescent="0.3"/>
    <row r="70" spans="1:2" s="23" customFormat="1" ht="15.6" x14ac:dyDescent="0.3"/>
    <row r="71" spans="1:2" s="23" customFormat="1" ht="15.6" x14ac:dyDescent="0.3"/>
    <row r="72" spans="1:2" s="23" customFormat="1" ht="15.6" x14ac:dyDescent="0.3"/>
    <row r="73" spans="1:2" s="23" customFormat="1" ht="15.6" x14ac:dyDescent="0.3"/>
    <row r="74" spans="1:2" s="23" customFormat="1" ht="15.6" x14ac:dyDescent="0.3"/>
    <row r="75" spans="1:2" s="23" customFormat="1" ht="15.6" x14ac:dyDescent="0.3"/>
    <row r="76" spans="1:2" s="23" customFormat="1" ht="15.6" x14ac:dyDescent="0.3"/>
    <row r="77" spans="1:2" s="23" customFormat="1" ht="15.6" x14ac:dyDescent="0.3"/>
    <row r="78" spans="1:2" s="23" customFormat="1" ht="15.6" x14ac:dyDescent="0.3"/>
    <row r="79" spans="1:2" s="23" customFormat="1" ht="15.6" x14ac:dyDescent="0.3"/>
    <row r="80" spans="1:2" s="23" customFormat="1" ht="15.6" x14ac:dyDescent="0.3"/>
    <row r="81" s="23" customFormat="1" ht="15.6" x14ac:dyDescent="0.3"/>
    <row r="82" s="23" customFormat="1" ht="15.6" x14ac:dyDescent="0.3"/>
    <row r="83" s="23" customFormat="1" ht="15.6" x14ac:dyDescent="0.3"/>
    <row r="84" s="23" customFormat="1" ht="15.6" x14ac:dyDescent="0.3"/>
    <row r="85" s="23" customFormat="1" ht="15.6" x14ac:dyDescent="0.3"/>
    <row r="86" s="23" customFormat="1" ht="15.6" x14ac:dyDescent="0.3"/>
    <row r="87" s="23" customFormat="1" ht="15.6" x14ac:dyDescent="0.3"/>
    <row r="88" s="23" customFormat="1" ht="15.6" x14ac:dyDescent="0.3"/>
    <row r="89" s="23" customFormat="1" ht="15.6" x14ac:dyDescent="0.3"/>
    <row r="90" s="23" customFormat="1" ht="15.6" x14ac:dyDescent="0.3"/>
    <row r="91" s="23" customFormat="1" ht="15.6" x14ac:dyDescent="0.3"/>
    <row r="92" s="23" customFormat="1" ht="15.6" x14ac:dyDescent="0.3"/>
    <row r="93" s="23" customFormat="1" ht="15.6" x14ac:dyDescent="0.3"/>
    <row r="94" s="23" customFormat="1" ht="15.6" x14ac:dyDescent="0.3"/>
    <row r="95" s="23" customFormat="1" ht="15.6" x14ac:dyDescent="0.3"/>
    <row r="96" s="23" customFormat="1" ht="15.6" x14ac:dyDescent="0.3"/>
    <row r="97" s="23" customFormat="1" ht="15.6" x14ac:dyDescent="0.3"/>
    <row r="98" s="23" customFormat="1" ht="15.6" x14ac:dyDescent="0.3"/>
    <row r="99" s="23" customFormat="1" ht="15.6" x14ac:dyDescent="0.3"/>
    <row r="100" s="23" customFormat="1" ht="15.6" x14ac:dyDescent="0.3"/>
    <row r="101" s="23" customFormat="1" ht="15.6" x14ac:dyDescent="0.3"/>
    <row r="102" s="23" customFormat="1" ht="15.6" x14ac:dyDescent="0.3"/>
    <row r="103" s="23" customFormat="1" ht="15.6" x14ac:dyDescent="0.3"/>
    <row r="104" s="23" customFormat="1" ht="15.6" x14ac:dyDescent="0.3"/>
    <row r="105" s="23" customFormat="1" ht="15.6" x14ac:dyDescent="0.3"/>
  </sheetData>
  <mergeCells count="10">
    <mergeCell ref="B42:L43"/>
    <mergeCell ref="B59:M60"/>
    <mergeCell ref="B62:M63"/>
    <mergeCell ref="C1:S1"/>
    <mergeCell ref="B22:S22"/>
    <mergeCell ref="B24:S25"/>
    <mergeCell ref="B27:S29"/>
    <mergeCell ref="B31:S32"/>
    <mergeCell ref="A1:B1"/>
    <mergeCell ref="B20:S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Operational Back-log</vt:lpstr>
      <vt:lpstr>Complaints by Category</vt:lpstr>
      <vt:lpstr>High Priority Complaints</vt:lpstr>
      <vt:lpstr>Avg Satisfaction by Category</vt:lpstr>
      <vt:lpstr>Support_Teams</vt:lpstr>
      <vt:lpstr>Customer_Complaints</vt:lpstr>
      <vt:lpstr>EDA_Observations &amp; KPI Devpmt</vt:lpstr>
      <vt:lpstr>Executive Dashboard</vt:lpstr>
      <vt:lpstr>Mgmt Report &amp; Recomm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Sanjeewani Pathinayake</dc:creator>
  <cp:lastModifiedBy>user</cp:lastModifiedBy>
  <dcterms:created xsi:type="dcterms:W3CDTF">2026-07-28T10:15:22Z</dcterms:created>
  <dcterms:modified xsi:type="dcterms:W3CDTF">2026-08-09T07:33:37Z</dcterms:modified>
</cp:coreProperties>
</file>