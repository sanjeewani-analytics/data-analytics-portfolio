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tables/table1.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DELL\Desktop\AI PROJECTS WITH ALEX\Professional DATA ANALYST Development Programme - From Day 24\Client Project - 003\Project 003 - Portfolio\"/>
    </mc:Choice>
  </mc:AlternateContent>
  <xr:revisionPtr revIDLastSave="0" documentId="13_ncr:1_{25995491-8689-4187-86C8-72AC445BBEBE}" xr6:coauthVersionLast="47" xr6:coauthVersionMax="47" xr10:uidLastSave="{00000000-0000-0000-0000-000000000000}"/>
  <bookViews>
    <workbookView xWindow="-108" yWindow="-108" windowWidth="23256" windowHeight="12456" firstSheet="5" activeTab="8" xr2:uid="{00000000-000D-0000-FFFF-FFFF00000000}"/>
  </bookViews>
  <sheets>
    <sheet name="WH vs Inv_value" sheetId="3" r:id="rId1"/>
    <sheet name="Category vs Inv_value" sheetId="5" r:id="rId2"/>
    <sheet name="Item_Value_Analysis" sheetId="7" r:id="rId3"/>
    <sheet name="Re-order_Level_Analysis" sheetId="9" r:id="rId4"/>
    <sheet name="Supplier Distribution" sheetId="10" r:id="rId5"/>
    <sheet name="Inventory_ Criticality" sheetId="6" r:id="rId6"/>
    <sheet name="Lead-time Risk Analysis" sheetId="14" r:id="rId7"/>
    <sheet name="Inventory Transactions" sheetId="1" r:id="rId8"/>
    <sheet name="Project - 003 Portfolio Page" sheetId="15" r:id="rId9"/>
  </sheets>
  <externalReferences>
    <externalReference r:id="rId10"/>
  </externalReferences>
  <calcPr calcId="191029"/>
  <pivotCaches>
    <pivotCache cacheId="0"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121" i="1" l="1"/>
  <c r="Y119" i="1"/>
  <c r="Y117" i="1"/>
  <c r="Y115" i="1"/>
  <c r="AG41" i="1"/>
  <c r="AG40" i="1"/>
  <c r="K6" i="9"/>
  <c r="K5" i="9"/>
  <c r="I6" i="9"/>
  <c r="I5" i="9"/>
  <c r="D141" i="9"/>
  <c r="D140" i="9"/>
  <c r="D139" i="9"/>
  <c r="D138" i="9"/>
  <c r="D137" i="9"/>
  <c r="D136" i="9"/>
  <c r="D135" i="9"/>
  <c r="D134" i="9"/>
  <c r="D133" i="9"/>
  <c r="D132" i="9"/>
  <c r="D131" i="9"/>
  <c r="D130" i="9"/>
  <c r="D129" i="9"/>
  <c r="D128" i="9"/>
  <c r="D127" i="9"/>
  <c r="D126" i="9"/>
  <c r="D125" i="9"/>
  <c r="D124" i="9"/>
  <c r="D123" i="9"/>
  <c r="D122" i="9"/>
  <c r="D121" i="9"/>
  <c r="D120" i="9"/>
  <c r="D119" i="9"/>
  <c r="D118" i="9"/>
  <c r="D117" i="9"/>
  <c r="D116" i="9"/>
  <c r="D115" i="9"/>
  <c r="D114" i="9"/>
  <c r="D113" i="9"/>
  <c r="D112" i="9"/>
  <c r="D111" i="9"/>
  <c r="D110" i="9"/>
  <c r="D109" i="9"/>
  <c r="D108" i="9"/>
  <c r="D107" i="9"/>
  <c r="D106" i="9"/>
  <c r="D105" i="9"/>
  <c r="D104" i="9"/>
  <c r="D103" i="9"/>
  <c r="D102" i="9"/>
  <c r="D101" i="9"/>
  <c r="D100" i="9"/>
  <c r="D99" i="9"/>
  <c r="D98" i="9"/>
  <c r="D97" i="9"/>
  <c r="D96" i="9"/>
  <c r="D95" i="9"/>
  <c r="D94" i="9"/>
  <c r="D93" i="9"/>
  <c r="D92" i="9"/>
  <c r="D91" i="9"/>
  <c r="D90" i="9"/>
  <c r="D89" i="9"/>
  <c r="D88" i="9"/>
  <c r="D87" i="9"/>
  <c r="D86" i="9"/>
  <c r="D85" i="9"/>
  <c r="D84" i="9"/>
  <c r="D83" i="9"/>
  <c r="D82" i="9"/>
  <c r="D81" i="9"/>
  <c r="D80" i="9"/>
  <c r="D79" i="9"/>
  <c r="D78" i="9"/>
  <c r="D77" i="9"/>
  <c r="D76" i="9"/>
  <c r="D75" i="9"/>
  <c r="D74" i="9"/>
  <c r="D73" i="9"/>
  <c r="D72" i="9"/>
  <c r="D71" i="9"/>
  <c r="D70" i="9"/>
  <c r="D69" i="9"/>
  <c r="D68" i="9"/>
  <c r="D67" i="9"/>
  <c r="D66" i="9"/>
  <c r="D65" i="9"/>
  <c r="D64" i="9"/>
  <c r="D63" i="9"/>
  <c r="D62" i="9"/>
  <c r="D61" i="9"/>
  <c r="D60" i="9"/>
  <c r="D59" i="9"/>
  <c r="D58" i="9"/>
  <c r="D57" i="9"/>
  <c r="D56" i="9"/>
  <c r="D55" i="9"/>
  <c r="D54" i="9"/>
  <c r="D53" i="9"/>
  <c r="D52" i="9"/>
  <c r="D51" i="9"/>
  <c r="D50" i="9"/>
  <c r="D49" i="9"/>
  <c r="D48" i="9"/>
  <c r="D47" i="9"/>
  <c r="D46" i="9"/>
  <c r="D45" i="9"/>
  <c r="D44" i="9"/>
  <c r="D43" i="9"/>
  <c r="D42" i="9"/>
  <c r="D41" i="9"/>
  <c r="D40" i="9"/>
  <c r="D39" i="9"/>
  <c r="D38" i="9"/>
  <c r="D37" i="9"/>
  <c r="D36" i="9"/>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L3" i="1"/>
  <c r="F8" i="7"/>
  <c r="F7" i="7"/>
  <c r="F6" i="7"/>
  <c r="F5" i="7"/>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M2" i="1"/>
  <c r="Q2" i="1" s="1"/>
  <c r="M3" i="1"/>
  <c r="Q3" i="1" s="1"/>
  <c r="M4" i="1"/>
  <c r="Q4" i="1" s="1"/>
  <c r="M5" i="1"/>
  <c r="Q5" i="1" s="1"/>
  <c r="M6" i="1"/>
  <c r="Q6" i="1" s="1"/>
  <c r="M7" i="1"/>
  <c r="Q7" i="1" s="1"/>
  <c r="M8" i="1"/>
  <c r="Q8" i="1" s="1"/>
  <c r="M9" i="1"/>
  <c r="Q9" i="1" s="1"/>
  <c r="M10" i="1"/>
  <c r="Q10" i="1" s="1"/>
  <c r="M11" i="1"/>
  <c r="Q11" i="1" s="1"/>
  <c r="M12" i="1"/>
  <c r="Q12" i="1" s="1"/>
  <c r="M13" i="1"/>
  <c r="Q13" i="1" s="1"/>
  <c r="M14" i="1"/>
  <c r="Q14" i="1" s="1"/>
  <c r="M15" i="1"/>
  <c r="Q15" i="1" s="1"/>
  <c r="M16" i="1"/>
  <c r="Q16" i="1" s="1"/>
  <c r="M17" i="1"/>
  <c r="Q17" i="1" s="1"/>
  <c r="M18" i="1"/>
  <c r="Q18" i="1" s="1"/>
  <c r="M19" i="1"/>
  <c r="Q19" i="1" s="1"/>
  <c r="M20" i="1"/>
  <c r="Q20" i="1" s="1"/>
  <c r="M21" i="1"/>
  <c r="Q21" i="1" s="1"/>
  <c r="M22" i="1"/>
  <c r="Q22" i="1" s="1"/>
  <c r="M23" i="1"/>
  <c r="Q23" i="1" s="1"/>
  <c r="M24" i="1"/>
  <c r="Q24" i="1" s="1"/>
  <c r="M25" i="1"/>
  <c r="Q25" i="1" s="1"/>
  <c r="M26" i="1"/>
  <c r="Q26" i="1" s="1"/>
  <c r="M27" i="1"/>
  <c r="Q27" i="1" s="1"/>
  <c r="M28" i="1"/>
  <c r="Q28" i="1" s="1"/>
  <c r="M29" i="1"/>
  <c r="Q29" i="1" s="1"/>
  <c r="M30" i="1"/>
  <c r="Q30" i="1" s="1"/>
  <c r="M31" i="1"/>
  <c r="Q31" i="1" s="1"/>
  <c r="M32" i="1"/>
  <c r="Q32" i="1" s="1"/>
  <c r="M33" i="1"/>
  <c r="Q33" i="1" s="1"/>
  <c r="M34" i="1"/>
  <c r="Q34" i="1" s="1"/>
  <c r="M35" i="1"/>
  <c r="Q35" i="1" s="1"/>
  <c r="M36" i="1"/>
  <c r="Q36" i="1" s="1"/>
  <c r="M37" i="1"/>
  <c r="Q37" i="1" s="1"/>
  <c r="M38" i="1"/>
  <c r="Q38" i="1" s="1"/>
  <c r="M39" i="1"/>
  <c r="Q39" i="1" s="1"/>
  <c r="M40" i="1"/>
  <c r="Q40" i="1" s="1"/>
  <c r="M41" i="1"/>
  <c r="Q41" i="1" s="1"/>
  <c r="M42" i="1"/>
  <c r="Q42" i="1" s="1"/>
  <c r="M43" i="1"/>
  <c r="Q43" i="1" s="1"/>
  <c r="M44" i="1"/>
  <c r="Q44" i="1" s="1"/>
  <c r="M45" i="1"/>
  <c r="Q45" i="1" s="1"/>
  <c r="M46" i="1"/>
  <c r="Q46" i="1" s="1"/>
  <c r="M47" i="1"/>
  <c r="Q47" i="1" s="1"/>
  <c r="M48" i="1"/>
  <c r="Q48" i="1" s="1"/>
  <c r="M49" i="1"/>
  <c r="Q49" i="1" s="1"/>
  <c r="M50" i="1"/>
  <c r="Q50" i="1" s="1"/>
  <c r="M51" i="1"/>
  <c r="Q51" i="1" s="1"/>
  <c r="M52" i="1"/>
  <c r="Q52" i="1" s="1"/>
  <c r="M53" i="1"/>
  <c r="Q53" i="1" s="1"/>
  <c r="M54" i="1"/>
  <c r="Q54" i="1" s="1"/>
  <c r="M55" i="1"/>
  <c r="Q55" i="1" s="1"/>
  <c r="M56" i="1"/>
  <c r="Q56" i="1" s="1"/>
  <c r="M57" i="1"/>
  <c r="Q57" i="1" s="1"/>
  <c r="M58" i="1"/>
  <c r="Q58" i="1" s="1"/>
  <c r="M59" i="1"/>
  <c r="Q59" i="1" s="1"/>
  <c r="M60" i="1"/>
  <c r="Q60" i="1" s="1"/>
  <c r="M61" i="1"/>
  <c r="Q61" i="1" s="1"/>
  <c r="M62" i="1"/>
  <c r="Q62" i="1" s="1"/>
  <c r="M63" i="1"/>
  <c r="Q63" i="1" s="1"/>
  <c r="M64" i="1"/>
  <c r="Q64" i="1" s="1"/>
  <c r="M65" i="1"/>
  <c r="Q65" i="1" s="1"/>
  <c r="M66" i="1"/>
  <c r="Q66" i="1" s="1"/>
  <c r="M67" i="1"/>
  <c r="Q67" i="1" s="1"/>
  <c r="M68" i="1"/>
  <c r="Q68" i="1" s="1"/>
  <c r="M69" i="1"/>
  <c r="Q69" i="1" s="1"/>
  <c r="M70" i="1"/>
  <c r="Q70" i="1" s="1"/>
  <c r="M71" i="1"/>
  <c r="Q71" i="1" s="1"/>
  <c r="M72" i="1"/>
  <c r="Q72" i="1" s="1"/>
  <c r="M73" i="1"/>
  <c r="Q73" i="1" s="1"/>
  <c r="M74" i="1"/>
  <c r="Q74" i="1" s="1"/>
  <c r="M75" i="1"/>
  <c r="Q75" i="1" s="1"/>
  <c r="M76" i="1"/>
  <c r="Q76" i="1" s="1"/>
  <c r="M77" i="1"/>
  <c r="Q77" i="1" s="1"/>
  <c r="M78" i="1"/>
  <c r="Q78" i="1" s="1"/>
  <c r="M79" i="1"/>
  <c r="Q79" i="1" s="1"/>
  <c r="M80" i="1"/>
  <c r="Q80" i="1" s="1"/>
  <c r="M81" i="1"/>
  <c r="Q81" i="1" s="1"/>
  <c r="M82" i="1"/>
  <c r="Q82" i="1" s="1"/>
  <c r="M83" i="1"/>
  <c r="Q83" i="1" s="1"/>
  <c r="M84" i="1"/>
  <c r="Q84" i="1" s="1"/>
  <c r="M85" i="1"/>
  <c r="Q85" i="1" s="1"/>
  <c r="M86" i="1"/>
  <c r="Q86" i="1" s="1"/>
  <c r="M87" i="1"/>
  <c r="Q87" i="1" s="1"/>
  <c r="M88" i="1"/>
  <c r="Q88" i="1" s="1"/>
  <c r="M89" i="1"/>
  <c r="Q89" i="1" s="1"/>
  <c r="M90" i="1"/>
  <c r="Q90" i="1" s="1"/>
  <c r="M91" i="1"/>
  <c r="Q91" i="1" s="1"/>
  <c r="M92" i="1"/>
  <c r="Q92" i="1" s="1"/>
  <c r="M93" i="1"/>
  <c r="Q93" i="1" s="1"/>
  <c r="M94" i="1"/>
  <c r="Q94" i="1" s="1"/>
  <c r="M95" i="1"/>
  <c r="Q95" i="1" s="1"/>
  <c r="M96" i="1"/>
  <c r="Q96" i="1" s="1"/>
  <c r="M97" i="1"/>
  <c r="Q97" i="1" s="1"/>
  <c r="M98" i="1"/>
  <c r="Q98" i="1" s="1"/>
  <c r="M99" i="1"/>
  <c r="Q99" i="1" s="1"/>
  <c r="M100" i="1"/>
  <c r="Q100" i="1" s="1"/>
  <c r="M101" i="1"/>
  <c r="Q101" i="1" s="1"/>
  <c r="M102" i="1"/>
  <c r="Q102" i="1" s="1"/>
  <c r="M103" i="1"/>
  <c r="Q103" i="1" s="1"/>
  <c r="M104" i="1"/>
  <c r="Q104" i="1" s="1"/>
  <c r="M105" i="1"/>
  <c r="Q105" i="1" s="1"/>
  <c r="M106" i="1"/>
  <c r="Q106" i="1" s="1"/>
  <c r="M107" i="1"/>
  <c r="Q107" i="1" s="1"/>
  <c r="M108" i="1"/>
  <c r="Q108" i="1" s="1"/>
  <c r="M109" i="1"/>
  <c r="Q109" i="1" s="1"/>
  <c r="M110" i="1"/>
  <c r="Q110" i="1" s="1"/>
  <c r="M111" i="1"/>
  <c r="Q111" i="1" s="1"/>
  <c r="M112" i="1"/>
  <c r="Q112" i="1" s="1"/>
  <c r="M113" i="1"/>
  <c r="Q113" i="1" s="1"/>
  <c r="M114" i="1"/>
  <c r="Q114" i="1" s="1"/>
  <c r="M115" i="1"/>
  <c r="Q115" i="1" s="1"/>
  <c r="M116" i="1"/>
  <c r="Q116" i="1" s="1"/>
  <c r="M117" i="1"/>
  <c r="Q117" i="1" s="1"/>
  <c r="M118" i="1"/>
  <c r="Q118" i="1" s="1"/>
  <c r="M119" i="1"/>
  <c r="Q119" i="1" s="1"/>
  <c r="M120" i="1"/>
  <c r="Q120" i="1" s="1"/>
  <c r="M121" i="1"/>
  <c r="Q121" i="1" s="1"/>
  <c r="M122" i="1"/>
  <c r="Q122" i="1" s="1"/>
  <c r="M123" i="1"/>
  <c r="Q123" i="1" s="1"/>
  <c r="M124" i="1"/>
  <c r="Q124" i="1" s="1"/>
  <c r="M125" i="1"/>
  <c r="Q125" i="1" s="1"/>
  <c r="M126" i="1"/>
  <c r="Q126" i="1" s="1"/>
  <c r="M127" i="1"/>
  <c r="Q127" i="1" s="1"/>
  <c r="M128" i="1"/>
  <c r="Q128" i="1" s="1"/>
  <c r="M129" i="1"/>
  <c r="Q129" i="1" s="1"/>
  <c r="M130" i="1"/>
  <c r="Q130" i="1" s="1"/>
  <c r="M131" i="1"/>
  <c r="Q131" i="1" s="1"/>
  <c r="M132" i="1"/>
  <c r="Q132" i="1" s="1"/>
  <c r="M133" i="1"/>
  <c r="Q133" i="1" s="1"/>
  <c r="M134" i="1"/>
  <c r="Q134" i="1" s="1"/>
  <c r="M135" i="1"/>
  <c r="Q135" i="1" s="1"/>
  <c r="M136" i="1"/>
  <c r="Q136" i="1" s="1"/>
  <c r="M137" i="1"/>
  <c r="Q137" i="1" s="1"/>
  <c r="M138" i="1"/>
  <c r="Q138" i="1" s="1"/>
  <c r="M139" i="1"/>
  <c r="Q139" i="1" s="1"/>
  <c r="M140" i="1"/>
  <c r="Q140" i="1" s="1"/>
  <c r="M141" i="1"/>
  <c r="Q141" i="1" s="1"/>
  <c r="M142" i="1"/>
  <c r="Q142" i="1" s="1"/>
  <c r="M143" i="1"/>
  <c r="Q143" i="1" s="1"/>
  <c r="M144" i="1"/>
  <c r="Q144" i="1" s="1"/>
  <c r="M145" i="1"/>
  <c r="Q145" i="1" s="1"/>
  <c r="M146" i="1"/>
  <c r="Q146" i="1" s="1"/>
  <c r="M147" i="1"/>
  <c r="Q147" i="1" s="1"/>
  <c r="M148" i="1"/>
  <c r="Q148" i="1" s="1"/>
  <c r="M149" i="1"/>
  <c r="Q149" i="1" s="1"/>
  <c r="M150" i="1"/>
  <c r="Q150" i="1" s="1"/>
  <c r="M151" i="1"/>
  <c r="Q151" i="1" s="1"/>
  <c r="M152" i="1"/>
  <c r="Q152" i="1" s="1"/>
  <c r="M153" i="1"/>
  <c r="Q153" i="1" s="1"/>
  <c r="M154" i="1"/>
  <c r="Q154" i="1" s="1"/>
  <c r="M155" i="1"/>
  <c r="Q155" i="1" s="1"/>
  <c r="M156" i="1"/>
  <c r="Q156" i="1" s="1"/>
  <c r="M157" i="1"/>
  <c r="Q157" i="1" s="1"/>
  <c r="M158" i="1"/>
  <c r="Q158" i="1" s="1"/>
  <c r="M159" i="1"/>
  <c r="Q159" i="1" s="1"/>
  <c r="M160" i="1"/>
  <c r="Q160" i="1" s="1"/>
  <c r="M161" i="1"/>
  <c r="Q161" i="1" s="1"/>
  <c r="M162" i="1"/>
  <c r="Q162" i="1" s="1"/>
  <c r="M163" i="1"/>
  <c r="Q163" i="1" s="1"/>
  <c r="M164" i="1"/>
  <c r="Q164" i="1" s="1"/>
  <c r="M165" i="1"/>
  <c r="Q165" i="1" s="1"/>
  <c r="M166" i="1"/>
  <c r="Q166" i="1" s="1"/>
  <c r="M167" i="1"/>
  <c r="Q167" i="1" s="1"/>
  <c r="M168" i="1"/>
  <c r="Q168" i="1" s="1"/>
  <c r="M169" i="1"/>
  <c r="Q169" i="1" s="1"/>
  <c r="M170" i="1"/>
  <c r="Q170" i="1" s="1"/>
  <c r="M171" i="1"/>
  <c r="Q171" i="1" s="1"/>
  <c r="M172" i="1"/>
  <c r="Q172" i="1" s="1"/>
  <c r="M173" i="1"/>
  <c r="Q173" i="1" s="1"/>
  <c r="M174" i="1"/>
  <c r="Q174" i="1" s="1"/>
  <c r="M175" i="1"/>
  <c r="Q175" i="1" s="1"/>
  <c r="M176" i="1"/>
  <c r="Q176" i="1" s="1"/>
  <c r="M177" i="1"/>
  <c r="Q177" i="1" s="1"/>
  <c r="M178" i="1"/>
  <c r="Q178" i="1" s="1"/>
  <c r="M179" i="1"/>
  <c r="Q179" i="1" s="1"/>
  <c r="M180" i="1"/>
  <c r="Q180" i="1" s="1"/>
  <c r="M181" i="1"/>
  <c r="Q181" i="1" s="1"/>
  <c r="M182" i="1"/>
  <c r="Q182" i="1" s="1"/>
  <c r="M183" i="1"/>
  <c r="Q183" i="1" s="1"/>
  <c r="M184" i="1"/>
  <c r="Q184" i="1" s="1"/>
  <c r="M185" i="1"/>
  <c r="Q185" i="1" s="1"/>
  <c r="M186" i="1"/>
  <c r="Q186" i="1" s="1"/>
  <c r="M187" i="1"/>
  <c r="Q187" i="1" s="1"/>
  <c r="M188" i="1"/>
  <c r="Q188" i="1" s="1"/>
  <c r="M189" i="1"/>
  <c r="Q189" i="1" s="1"/>
  <c r="M190" i="1"/>
  <c r="Q190" i="1" s="1"/>
  <c r="M191" i="1"/>
  <c r="Q191" i="1" s="1"/>
  <c r="M192" i="1"/>
  <c r="Q192" i="1" s="1"/>
  <c r="M193" i="1"/>
  <c r="Q193" i="1" s="1"/>
  <c r="M194" i="1"/>
  <c r="Q194" i="1" s="1"/>
  <c r="M195" i="1"/>
  <c r="Q195" i="1" s="1"/>
  <c r="M196" i="1"/>
  <c r="Q196" i="1" s="1"/>
  <c r="M197" i="1"/>
  <c r="Q197" i="1" s="1"/>
  <c r="M198" i="1"/>
  <c r="Q198" i="1" s="1"/>
  <c r="M199" i="1"/>
  <c r="Q199" i="1" s="1"/>
  <c r="M200" i="1"/>
  <c r="Q200" i="1" s="1"/>
  <c r="M201" i="1"/>
  <c r="Q201" i="1" s="1"/>
  <c r="L2"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E209" i="1"/>
  <c r="E208" i="1"/>
</calcChain>
</file>

<file path=xl/sharedStrings.xml><?xml version="1.0" encoding="utf-8"?>
<sst xmlns="http://schemas.openxmlformats.org/spreadsheetml/2006/main" count="1429" uniqueCount="443">
  <si>
    <t>Transaction ID</t>
  </si>
  <si>
    <t>Transaction Date</t>
  </si>
  <si>
    <t>Item Code</t>
  </si>
  <si>
    <t>Warehouse</t>
  </si>
  <si>
    <t>Department</t>
  </si>
  <si>
    <t>Qty Received</t>
  </si>
  <si>
    <t>Qty Issued</t>
  </si>
  <si>
    <t>Current Stock</t>
  </si>
  <si>
    <t>Reorder Level</t>
  </si>
  <si>
    <t>Transaction Type</t>
  </si>
  <si>
    <t>T0001</t>
  </si>
  <si>
    <t>ITM1021</t>
  </si>
  <si>
    <t>WH-A</t>
  </si>
  <si>
    <t>Stores</t>
  </si>
  <si>
    <t>Issue</t>
  </si>
  <si>
    <t>T0002</t>
  </si>
  <si>
    <t>ITM1039</t>
  </si>
  <si>
    <t>WH-C</t>
  </si>
  <si>
    <t>Production</t>
  </si>
  <si>
    <t>Receipt</t>
  </si>
  <si>
    <t>T0003</t>
  </si>
  <si>
    <t>ITM1003</t>
  </si>
  <si>
    <t>T0004</t>
  </si>
  <si>
    <t>ITM1026</t>
  </si>
  <si>
    <t>T0005</t>
  </si>
  <si>
    <t>ITM1040</t>
  </si>
  <si>
    <t>WH-B</t>
  </si>
  <si>
    <t>T0006</t>
  </si>
  <si>
    <t>ITM1015</t>
  </si>
  <si>
    <t>T0007</t>
  </si>
  <si>
    <t>T0008</t>
  </si>
  <si>
    <t>ITM1024</t>
  </si>
  <si>
    <t>T0009</t>
  </si>
  <si>
    <t>ITM1010</t>
  </si>
  <si>
    <t>T0010</t>
  </si>
  <si>
    <t>ITM1012</t>
  </si>
  <si>
    <t>T0011</t>
  </si>
  <si>
    <t>Maintenance</t>
  </si>
  <si>
    <t>T0012</t>
  </si>
  <si>
    <t>T0013</t>
  </si>
  <si>
    <t>ITM1018</t>
  </si>
  <si>
    <t>T0014</t>
  </si>
  <si>
    <t>ITM1019</t>
  </si>
  <si>
    <t>T0015</t>
  </si>
  <si>
    <t>ITM1009</t>
  </si>
  <si>
    <t>T0016</t>
  </si>
  <si>
    <t>T0017</t>
  </si>
  <si>
    <t>ITM1006</t>
  </si>
  <si>
    <t>T0018</t>
  </si>
  <si>
    <t>ITM1031</t>
  </si>
  <si>
    <t>T0019</t>
  </si>
  <si>
    <t>T0020</t>
  </si>
  <si>
    <t>ITM1004</t>
  </si>
  <si>
    <t>T0021</t>
  </si>
  <si>
    <t>T0022</t>
  </si>
  <si>
    <t>ITM1014</t>
  </si>
  <si>
    <t>T0023</t>
  </si>
  <si>
    <t>ITM1011</t>
  </si>
  <si>
    <t>T0024</t>
  </si>
  <si>
    <t>T0025</t>
  </si>
  <si>
    <t>T0026</t>
  </si>
  <si>
    <t>ITM1002</t>
  </si>
  <si>
    <t>T0027</t>
  </si>
  <si>
    <t>ITM1032</t>
  </si>
  <si>
    <t>T0028</t>
  </si>
  <si>
    <t>ITM1037</t>
  </si>
  <si>
    <t>T0029</t>
  </si>
  <si>
    <t>ITM1034</t>
  </si>
  <si>
    <t>T0030</t>
  </si>
  <si>
    <t>ITM1016</t>
  </si>
  <si>
    <t>T0031</t>
  </si>
  <si>
    <t>ITM1023</t>
  </si>
  <si>
    <t>T0032</t>
  </si>
  <si>
    <t>ITM1008</t>
  </si>
  <si>
    <t>T0033</t>
  </si>
  <si>
    <t>ITM1001</t>
  </si>
  <si>
    <t>T0034</t>
  </si>
  <si>
    <t>T0035</t>
  </si>
  <si>
    <t>T0036</t>
  </si>
  <si>
    <t>T0037</t>
  </si>
  <si>
    <t>T0038</t>
  </si>
  <si>
    <t>ITM1017</t>
  </si>
  <si>
    <t>T0039</t>
  </si>
  <si>
    <t>ITM1007</t>
  </si>
  <si>
    <t>T0040</t>
  </si>
  <si>
    <t>T0041</t>
  </si>
  <si>
    <t>ITM1033</t>
  </si>
  <si>
    <t>T0042</t>
  </si>
  <si>
    <t>ITM1030</t>
  </si>
  <si>
    <t>T0043</t>
  </si>
  <si>
    <t>ITM1022</t>
  </si>
  <si>
    <t>T0044</t>
  </si>
  <si>
    <t>T0045</t>
  </si>
  <si>
    <t>T0046</t>
  </si>
  <si>
    <t>T0047</t>
  </si>
  <si>
    <t>T0048</t>
  </si>
  <si>
    <t>T0049</t>
  </si>
  <si>
    <t>T0050</t>
  </si>
  <si>
    <t>T0051</t>
  </si>
  <si>
    <t>T0052</t>
  </si>
  <si>
    <t>T0053</t>
  </si>
  <si>
    <t>T0054</t>
  </si>
  <si>
    <t>T0055</t>
  </si>
  <si>
    <t>T0056</t>
  </si>
  <si>
    <t>T0057</t>
  </si>
  <si>
    <t>T0058</t>
  </si>
  <si>
    <t>T0059</t>
  </si>
  <si>
    <t>ITM1013</t>
  </si>
  <si>
    <t>T0060</t>
  </si>
  <si>
    <t>ITM1035</t>
  </si>
  <si>
    <t>T0061</t>
  </si>
  <si>
    <t>T0062</t>
  </si>
  <si>
    <t>ITM1027</t>
  </si>
  <si>
    <t>T0063</t>
  </si>
  <si>
    <t>T0064</t>
  </si>
  <si>
    <t>T0065</t>
  </si>
  <si>
    <t>T0066</t>
  </si>
  <si>
    <t>T0067</t>
  </si>
  <si>
    <t>T0068</t>
  </si>
  <si>
    <t>T0069</t>
  </si>
  <si>
    <t>T0070</t>
  </si>
  <si>
    <t>T0071</t>
  </si>
  <si>
    <t>ITM1036</t>
  </si>
  <si>
    <t>T0072</t>
  </si>
  <si>
    <t>T0073</t>
  </si>
  <si>
    <t>T0074</t>
  </si>
  <si>
    <t>T0075</t>
  </si>
  <si>
    <t>T0076</t>
  </si>
  <si>
    <t>T0077</t>
  </si>
  <si>
    <t>T0078</t>
  </si>
  <si>
    <t>T0079</t>
  </si>
  <si>
    <t>T0080</t>
  </si>
  <si>
    <t>T0081</t>
  </si>
  <si>
    <t>T0082</t>
  </si>
  <si>
    <t>T0083</t>
  </si>
  <si>
    <t>T0084</t>
  </si>
  <si>
    <t>T0085</t>
  </si>
  <si>
    <t>T0086</t>
  </si>
  <si>
    <t>T0087</t>
  </si>
  <si>
    <t>T0088</t>
  </si>
  <si>
    <t>ITM1029</t>
  </si>
  <si>
    <t>T0089</t>
  </si>
  <si>
    <t>T0090</t>
  </si>
  <si>
    <t>T0091</t>
  </si>
  <si>
    <t>T0092</t>
  </si>
  <si>
    <t>T0093</t>
  </si>
  <si>
    <t>T0094</t>
  </si>
  <si>
    <t>T0095</t>
  </si>
  <si>
    <t>T0096</t>
  </si>
  <si>
    <t>ITM1038</t>
  </si>
  <si>
    <t>T0097</t>
  </si>
  <si>
    <t>T0098</t>
  </si>
  <si>
    <t>T0099</t>
  </si>
  <si>
    <t>T0100</t>
  </si>
  <si>
    <t>T0101</t>
  </si>
  <si>
    <t>T0102</t>
  </si>
  <si>
    <t>T0103</t>
  </si>
  <si>
    <t>ITM1028</t>
  </si>
  <si>
    <t>T0104</t>
  </si>
  <si>
    <t>T0105</t>
  </si>
  <si>
    <t>T0106</t>
  </si>
  <si>
    <t>T0107</t>
  </si>
  <si>
    <t>T0108</t>
  </si>
  <si>
    <t>T0109</t>
  </si>
  <si>
    <t>T0110</t>
  </si>
  <si>
    <t>T0111</t>
  </si>
  <si>
    <t>T0112</t>
  </si>
  <si>
    <t>T0113</t>
  </si>
  <si>
    <t>T0114</t>
  </si>
  <si>
    <t>T0115</t>
  </si>
  <si>
    <t>T0116</t>
  </si>
  <si>
    <t>T0117</t>
  </si>
  <si>
    <t>T0118</t>
  </si>
  <si>
    <t>T0119</t>
  </si>
  <si>
    <t>T0120</t>
  </si>
  <si>
    <t>T0121</t>
  </si>
  <si>
    <t>T0122</t>
  </si>
  <si>
    <t>T0123</t>
  </si>
  <si>
    <t>T0124</t>
  </si>
  <si>
    <t>T0125</t>
  </si>
  <si>
    <t>T0126</t>
  </si>
  <si>
    <t>T0127</t>
  </si>
  <si>
    <t>T0128</t>
  </si>
  <si>
    <t>T0129</t>
  </si>
  <si>
    <t>T0130</t>
  </si>
  <si>
    <t>T0131</t>
  </si>
  <si>
    <t>T0132</t>
  </si>
  <si>
    <t>T0133</t>
  </si>
  <si>
    <t>T0134</t>
  </si>
  <si>
    <t>T0135</t>
  </si>
  <si>
    <t>T0136</t>
  </si>
  <si>
    <t>T0137</t>
  </si>
  <si>
    <t>T0138</t>
  </si>
  <si>
    <t>T0139</t>
  </si>
  <si>
    <t>T0140</t>
  </si>
  <si>
    <t>T0141</t>
  </si>
  <si>
    <t>T0142</t>
  </si>
  <si>
    <t>T0143</t>
  </si>
  <si>
    <t>T0144</t>
  </si>
  <si>
    <t>T0145</t>
  </si>
  <si>
    <t>T0146</t>
  </si>
  <si>
    <t>T0147</t>
  </si>
  <si>
    <t>T0148</t>
  </si>
  <si>
    <t>T0149</t>
  </si>
  <si>
    <t>T0150</t>
  </si>
  <si>
    <t>T0151</t>
  </si>
  <si>
    <t>T0152</t>
  </si>
  <si>
    <t>T0153</t>
  </si>
  <si>
    <t>T0154</t>
  </si>
  <si>
    <t>T0155</t>
  </si>
  <si>
    <t>T0156</t>
  </si>
  <si>
    <t>T0157</t>
  </si>
  <si>
    <t>T0158</t>
  </si>
  <si>
    <t>T0159</t>
  </si>
  <si>
    <t>T0160</t>
  </si>
  <si>
    <t>T0161</t>
  </si>
  <si>
    <t>T0162</t>
  </si>
  <si>
    <t>T0163</t>
  </si>
  <si>
    <t>T0164</t>
  </si>
  <si>
    <t>T0165</t>
  </si>
  <si>
    <t>T0166</t>
  </si>
  <si>
    <t>T0167</t>
  </si>
  <si>
    <t>T0168</t>
  </si>
  <si>
    <t>ITM1020</t>
  </si>
  <si>
    <t>T0169</t>
  </si>
  <si>
    <t>T0170</t>
  </si>
  <si>
    <t>T0171</t>
  </si>
  <si>
    <t>T0172</t>
  </si>
  <si>
    <t>T0173</t>
  </si>
  <si>
    <t>T0174</t>
  </si>
  <si>
    <t>T0175</t>
  </si>
  <si>
    <t>T0176</t>
  </si>
  <si>
    <t>T0177</t>
  </si>
  <si>
    <t>T0178</t>
  </si>
  <si>
    <t>T0179</t>
  </si>
  <si>
    <t>T0180</t>
  </si>
  <si>
    <t>T0181</t>
  </si>
  <si>
    <t>T0182</t>
  </si>
  <si>
    <t>T0183</t>
  </si>
  <si>
    <t>T0184</t>
  </si>
  <si>
    <t>T0185</t>
  </si>
  <si>
    <t>T0186</t>
  </si>
  <si>
    <t>T0187</t>
  </si>
  <si>
    <t>T0188</t>
  </si>
  <si>
    <t>T0189</t>
  </si>
  <si>
    <t>T0190</t>
  </si>
  <si>
    <t>T0191</t>
  </si>
  <si>
    <t>T0192</t>
  </si>
  <si>
    <t>ITM1005</t>
  </si>
  <si>
    <t>T0193</t>
  </si>
  <si>
    <t>T0194</t>
  </si>
  <si>
    <t>T0195</t>
  </si>
  <si>
    <t>T0196</t>
  </si>
  <si>
    <t>T0197</t>
  </si>
  <si>
    <t>T0198</t>
  </si>
  <si>
    <t>T0199</t>
  </si>
  <si>
    <t>T0200</t>
  </si>
  <si>
    <t>Phase -1</t>
  </si>
  <si>
    <t>Data Quality Assessment Report</t>
  </si>
  <si>
    <t>Total records:</t>
  </si>
  <si>
    <t>Total columns:</t>
  </si>
  <si>
    <t>Formatting issues:</t>
  </si>
  <si>
    <t>Not observed</t>
  </si>
  <si>
    <t>Other observations:</t>
  </si>
  <si>
    <t>Blank (Missing) Values identified :</t>
  </si>
  <si>
    <t>None</t>
  </si>
  <si>
    <t>Duplicate records identified :</t>
  </si>
  <si>
    <t>The datasets appear suitable for analysis. No significant data quality issues were identified during the preliminary assessment. The data is considered ready to proceed to the Data Cleaning &amp; Validation phase.</t>
  </si>
  <si>
    <t>OBSERVATIONS  :</t>
  </si>
  <si>
    <t>BUSINESS READINESS</t>
  </si>
  <si>
    <r>
      <t xml:space="preserve">After carrying out preliminary formatting for professional outlook of the data set received from the client; </t>
    </r>
    <r>
      <rPr>
        <b/>
        <sz val="12"/>
        <color theme="1"/>
        <rFont val="Calibri"/>
        <family val="2"/>
        <scheme val="minor"/>
      </rPr>
      <t>Precision Industrial Components Ltd.</t>
    </r>
    <r>
      <rPr>
        <sz val="12"/>
        <color theme="1"/>
        <rFont val="Calibri"/>
        <family val="2"/>
        <scheme val="minor"/>
      </rPr>
      <t xml:space="preserve">, visual inspection was carried out to idenfify blank cells (missing Nos.), duplicate records and inconsistant formatting or any other Data Quality concerns.  In the above raw data set obvious inconsistencies were not observed. Data types are appropriate (dates, numbers and texts). </t>
    </r>
  </si>
  <si>
    <t>Phase -2</t>
  </si>
  <si>
    <t>Data Cleaning &amp; Validation</t>
  </si>
  <si>
    <t>1. Converted the above data table to an Excel Table to facilitate with added features to support data analysis.</t>
  </si>
  <si>
    <t>3. No critical data quality issues remain that would materially affect the planned analysis to proceed.</t>
  </si>
  <si>
    <t>2. Carefully reviewed by Sorting, but could not observe inconsistancies / data quality issues.</t>
  </si>
  <si>
    <t>Item Description</t>
  </si>
  <si>
    <t>Category</t>
  </si>
  <si>
    <t>Preferred Supplier</t>
  </si>
  <si>
    <t>Lead Time (Days)</t>
  </si>
  <si>
    <t>Criticality</t>
  </si>
  <si>
    <t>Client Project 003 - Inventory &amp; Warehouse Performance Analysis</t>
  </si>
  <si>
    <t>Phase -3</t>
  </si>
  <si>
    <t>Inventory Analysis</t>
  </si>
  <si>
    <t>Unit Cost (Currency)</t>
  </si>
  <si>
    <t>Inventory Value (Currency)</t>
  </si>
  <si>
    <t>Row Labels</t>
  </si>
  <si>
    <t>Grand Total</t>
  </si>
  <si>
    <t>Sum of Current Stock</t>
  </si>
  <si>
    <t>Sum of Inventory Value (Currency)</t>
  </si>
  <si>
    <t>Electrical</t>
  </si>
  <si>
    <t>Mechanical</t>
  </si>
  <si>
    <t>Packaging</t>
  </si>
  <si>
    <t>Safety</t>
  </si>
  <si>
    <t>High</t>
  </si>
  <si>
    <t>Low</t>
  </si>
  <si>
    <t>Medium</t>
  </si>
  <si>
    <t>Count of Criticality</t>
  </si>
  <si>
    <t>Component 1</t>
  </si>
  <si>
    <t>Component 10</t>
  </si>
  <si>
    <t>Component 11</t>
  </si>
  <si>
    <t>Component 12</t>
  </si>
  <si>
    <t>Component 13</t>
  </si>
  <si>
    <t>Component 14</t>
  </si>
  <si>
    <t>Component 15</t>
  </si>
  <si>
    <t>Component 16</t>
  </si>
  <si>
    <t>Component 17</t>
  </si>
  <si>
    <t>Component 18</t>
  </si>
  <si>
    <t>Component 19</t>
  </si>
  <si>
    <t>Component 2</t>
  </si>
  <si>
    <t>Component 20</t>
  </si>
  <si>
    <t>Component 21</t>
  </si>
  <si>
    <t>Component 22</t>
  </si>
  <si>
    <t>Component 23</t>
  </si>
  <si>
    <t>Component 24</t>
  </si>
  <si>
    <t>Component 26</t>
  </si>
  <si>
    <t>Component 27</t>
  </si>
  <si>
    <t>Component 28</t>
  </si>
  <si>
    <t>Component 29</t>
  </si>
  <si>
    <t>Component 3</t>
  </si>
  <si>
    <t>Component 30</t>
  </si>
  <si>
    <t>Component 31</t>
  </si>
  <si>
    <t>Component 32</t>
  </si>
  <si>
    <t>Component 33</t>
  </si>
  <si>
    <t>Component 34</t>
  </si>
  <si>
    <t>Component 35</t>
  </si>
  <si>
    <t>Component 36</t>
  </si>
  <si>
    <t>Component 37</t>
  </si>
  <si>
    <t>Component 38</t>
  </si>
  <si>
    <t>Component 39</t>
  </si>
  <si>
    <t>Component 4</t>
  </si>
  <si>
    <t>Component 40</t>
  </si>
  <si>
    <t>Component 5</t>
  </si>
  <si>
    <t>Component 6</t>
  </si>
  <si>
    <t>Component 7</t>
  </si>
  <si>
    <t>Component 8</t>
  </si>
  <si>
    <t>Component 9</t>
  </si>
  <si>
    <t>Min of Unit Cost (Currency)</t>
  </si>
  <si>
    <t>1 - 100</t>
  </si>
  <si>
    <t>Medium - Upper</t>
  </si>
  <si>
    <t>101 - 250</t>
  </si>
  <si>
    <t>251 - 400</t>
  </si>
  <si>
    <t>401 above</t>
  </si>
  <si>
    <t>No. of  individual items</t>
  </si>
  <si>
    <t>Item Value Category</t>
  </si>
  <si>
    <r>
      <t xml:space="preserve"> Value Range </t>
    </r>
    <r>
      <rPr>
        <b/>
        <sz val="11"/>
        <color theme="1"/>
        <rFont val="Calibri"/>
        <family val="2"/>
        <scheme val="minor"/>
      </rPr>
      <t>(Currency)</t>
    </r>
  </si>
  <si>
    <t>Medium - Lower</t>
  </si>
  <si>
    <t>Sum of Reorder Level</t>
  </si>
  <si>
    <t>Items Below RO Level</t>
  </si>
  <si>
    <t>STOCK LEVEL</t>
  </si>
  <si>
    <t>QUANTITY</t>
  </si>
  <si>
    <t>%</t>
  </si>
  <si>
    <t>Item Stock Level Analysis</t>
  </si>
  <si>
    <t>Alpha</t>
  </si>
  <si>
    <t>Bravo</t>
  </si>
  <si>
    <t>Central</t>
  </si>
  <si>
    <t>Delta</t>
  </si>
  <si>
    <t>Column Labels</t>
  </si>
  <si>
    <t>Average of Lead Time (Days)</t>
  </si>
  <si>
    <t>Stock Level OK /High Stock</t>
  </si>
  <si>
    <t>01 - 10</t>
  </si>
  <si>
    <t>11 - 20</t>
  </si>
  <si>
    <t>21 - 30</t>
  </si>
  <si>
    <t>No. of "Criticality - High"</t>
  </si>
  <si>
    <t>No. of "Criticality - Low"</t>
  </si>
  <si>
    <t>No. of "Criticality - Medium"</t>
  </si>
  <si>
    <t>Executive Dashboard</t>
  </si>
  <si>
    <t>Dashboard KPIs</t>
  </si>
  <si>
    <t>Total No. of Columns</t>
  </si>
  <si>
    <t>Phase - 4</t>
  </si>
  <si>
    <t>Average Inventory Value</t>
  </si>
  <si>
    <t>Total Inventory Value</t>
  </si>
  <si>
    <t>Total No. of Inventory Transactions</t>
  </si>
  <si>
    <t>Highest Inventory Value - Warehouse</t>
  </si>
  <si>
    <t>Highest Inventory Value - Category</t>
  </si>
  <si>
    <t>Highest Inventry Value - Supplier</t>
  </si>
  <si>
    <t xml:space="preserve">Risk Levels            (Color Code)             </t>
  </si>
  <si>
    <t>HIGH Risk</t>
  </si>
  <si>
    <r>
      <t>Lead-time</t>
    </r>
    <r>
      <rPr>
        <b/>
        <u/>
        <sz val="12"/>
        <color rgb="FF0000CC"/>
        <rFont val="Calibri"/>
        <family val="2"/>
        <scheme val="minor"/>
      </rPr>
      <t xml:space="preserve"> Days</t>
    </r>
  </si>
  <si>
    <t>MODERATE Risk</t>
  </si>
  <si>
    <t>LOW Risk</t>
  </si>
  <si>
    <r>
      <t>Lead-time</t>
    </r>
    <r>
      <rPr>
        <b/>
        <u/>
        <sz val="13"/>
        <color rgb="FF0000CC"/>
        <rFont val="Calibri"/>
        <family val="2"/>
        <scheme val="minor"/>
      </rPr>
      <t xml:space="preserve"> Days</t>
    </r>
  </si>
  <si>
    <t>No. of Items</t>
  </si>
  <si>
    <t>No. of Items BELOW Re-order Level</t>
  </si>
  <si>
    <t>No. of Inventory Criticality - High</t>
  </si>
  <si>
    <t>No. of Inventory Criticality - Medium</t>
  </si>
  <si>
    <t>No. of Inventory Criticality - Low</t>
  </si>
  <si>
    <r>
      <rPr>
        <sz val="16"/>
        <color theme="1"/>
        <rFont val="Calibri"/>
        <family val="2"/>
        <scheme val="minor"/>
      </rPr>
      <t>No. of HIGH Value Items</t>
    </r>
    <r>
      <rPr>
        <sz val="15"/>
        <color theme="1"/>
        <rFont val="Calibri"/>
        <family val="2"/>
        <scheme val="minor"/>
      </rPr>
      <t xml:space="preserve"> </t>
    </r>
    <r>
      <rPr>
        <sz val="12"/>
        <color theme="1"/>
        <rFont val="Calibri"/>
        <family val="2"/>
        <scheme val="minor"/>
      </rPr>
      <t>(Unit Cost : 401 above)</t>
    </r>
  </si>
  <si>
    <t>07</t>
  </si>
  <si>
    <t>No. of HIGH Risk - Lead-time Items</t>
  </si>
  <si>
    <t>No. of MODERATE Risk - Lead-time Items</t>
  </si>
  <si>
    <t>No. of LOW Risk - Lead-time Items</t>
  </si>
  <si>
    <t>06</t>
  </si>
  <si>
    <r>
      <t xml:space="preserve">3,577,570           </t>
    </r>
    <r>
      <rPr>
        <sz val="15"/>
        <color theme="1"/>
        <rFont val="Calibri"/>
        <family val="2"/>
        <scheme val="minor"/>
      </rPr>
      <t xml:space="preserve">   (Central)</t>
    </r>
  </si>
  <si>
    <t>Phase - 5</t>
  </si>
  <si>
    <t>Management Report</t>
  </si>
  <si>
    <t>2,546,136 (WH-A)</t>
  </si>
  <si>
    <t>2,098,146 (Packaging)</t>
  </si>
  <si>
    <t>Observations :</t>
  </si>
  <si>
    <t xml:space="preserve">1. Inventory Value is distributed among the 03 Warehouses almost propotionately with minor variations. </t>
  </si>
  <si>
    <t>2. Packaging and Electrical are the top 02 leading Categories accountable for the highest inventory value with almost equivelent 29% each.</t>
  </si>
  <si>
    <t>3. High Value and Low Value items represent 18% and 10% of the total list of items respectively while the balance is represented by the Medium value items.</t>
  </si>
  <si>
    <t>4. There are 09 items found to be having current stock "Below the respective Reorder-Levels" reprsenting 6.52% of the total listed items; while the balance 129 items (93.47%) maintained "sufficient / high" current stock levels.</t>
  </si>
  <si>
    <t>5. Out of the 04 Preferred Suppliers, only one Supplier is accountable for 50% of the total Inventory value which is significantly higher than the distribution among the other 03 Suppliers.</t>
  </si>
  <si>
    <t>6. It could observe that 35% of the listed items as "High" in terms of the "level of criticality".</t>
  </si>
  <si>
    <t>7. As a result of the  "Lead-time Risk Analysis"performed,  06 items were identified as "High Risk", 23 items as Moderate Risk and the balance 10 items as Low Risk.</t>
  </si>
  <si>
    <t>Recommendations :</t>
  </si>
  <si>
    <t>Out of the above listed Observations, following recommendations could be made only for the problems visible through above analysis.</t>
  </si>
  <si>
    <t>1. Suggest to negotiate discounted prices for the 02 leading Categories (Packaging and Electrical) when renewing the contracts.</t>
  </si>
  <si>
    <t>2. Below Re-order Levels  :  Need to take immediate action to maintain adequate stock levels for the items below Re-order Levels and evaluate the causes for the situation for preventive measures.</t>
  </si>
  <si>
    <t>3. Need to assess and decide on the "sufficient stock levels" to maintain (current stock); taking into account the past records on lead-times of the procurement life cycle, etc.</t>
  </si>
  <si>
    <t>4. Need to minimize high reliance and concentrating company spend mainly on one Supplier in view of mitigating supply risks, and should focus on developing and maintaining balanced business collaboration with other potential Suppliers.</t>
  </si>
  <si>
    <t>5. Items with High level of criticality should be constantly monitored and prioritized to maintain adequate stock levels.</t>
  </si>
  <si>
    <t>6. Need to develop strategies to prioritize and handle the items based on their respective Risk levels pertaining to Lead-times, to ensure timely availability to support uninterrupted business operations.</t>
  </si>
  <si>
    <t>Professional Data Analytics Portfolio</t>
  </si>
  <si>
    <t>Project 003 - Warehouse Inventory Risk Analysis &amp; Executive Dashboard</t>
  </si>
  <si>
    <t>Business Scenario</t>
  </si>
  <si>
    <t>A fictional organisation requested an analysis of warehouse inventory to evaluate inventory value, reorder status, supplier distribution, lead-time risks, and inventory criticality. The objective was to identify operational risks and provide practical recommendations to improve inventory management and business continuity.</t>
  </si>
  <si>
    <t>Project Objectives</t>
  </si>
  <si>
    <t>Assess inventory data quality.</t>
  </si>
  <si>
    <t>Clean and validate datasets.</t>
  </si>
  <si>
    <t>Integrate related datasets using XLOOKUP.</t>
  </si>
  <si>
    <t>Analyse inventory value.</t>
  </si>
  <si>
    <t>Evaluate reorder levels.</t>
  </si>
  <si>
    <t>Assess supplier distribution.</t>
  </si>
  <si>
    <t>Identify lead-time risks.</t>
  </si>
  <si>
    <t>Develop an executive dashboard.</t>
  </si>
  <si>
    <t>Present actionable management recommendations.</t>
  </si>
  <si>
    <t>Skills Demonstrated</t>
  </si>
  <si>
    <t>This project showcases an excellent range of skills:</t>
  </si>
  <si>
    <t>Warehouse Analytics</t>
  </si>
  <si>
    <t>Lead-Time Risk Assessment</t>
  </si>
  <si>
    <t>KPI Development</t>
  </si>
  <si>
    <t>Dashboard Design</t>
  </si>
  <si>
    <t>Pivot Tables</t>
  </si>
  <si>
    <t>Executive Reporting</t>
  </si>
  <si>
    <t>Business Recommendations</t>
  </si>
  <si>
    <r>
      <t xml:space="preserve">Data Integration using </t>
    </r>
    <r>
      <rPr>
        <b/>
        <sz val="12"/>
        <color theme="1"/>
        <rFont val="Calibri"/>
        <family val="2"/>
        <scheme val="minor"/>
      </rPr>
      <t>XLOOKUP</t>
    </r>
  </si>
  <si>
    <t>Business Value Delivered</t>
  </si>
  <si>
    <t>This project demonstrates how inventory and warehouse data can be transformed into actionable insights that support inventory optimisation, supplier management, and operational risk reduction through structured Excel analysis.</t>
  </si>
  <si>
    <t>Portfolio Project Prepared by:</t>
  </si>
  <si>
    <t>Microsoft Excel Business Case Study</t>
  </si>
  <si>
    <t>Sanjeewani Pathinayake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</si>
</sst>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yyyy\-mm\-dd"/>
    <numFmt numFmtId="165" formatCode="_(* #,##0_);_(* \(#,##0\);_(* &quot;-&quot;??_);_(@_)"/>
    <numFmt numFmtId="166" formatCode="0.000"/>
  </numFmts>
  <fonts count="26" x14ac:knownFonts="1">
    <font>
      <sz val="11"/>
      <color theme="1"/>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b/>
      <sz val="12"/>
      <color theme="1"/>
      <name val="Calibri"/>
      <family val="2"/>
      <scheme val="minor"/>
    </font>
    <font>
      <b/>
      <sz val="12"/>
      <name val="Calibri"/>
      <family val="2"/>
      <scheme val="minor"/>
    </font>
    <font>
      <sz val="11"/>
      <color theme="1"/>
      <name val="Calibri"/>
      <family val="2"/>
      <scheme val="minor"/>
    </font>
    <font>
      <b/>
      <sz val="13.5"/>
      <color theme="1"/>
      <name val="Calibri"/>
      <family val="2"/>
      <scheme val="minor"/>
    </font>
    <font>
      <b/>
      <sz val="16"/>
      <color theme="1"/>
      <name val="Calibri"/>
      <family val="2"/>
      <scheme val="minor"/>
    </font>
    <font>
      <b/>
      <sz val="13"/>
      <color theme="1"/>
      <name val="Calibri"/>
      <family val="2"/>
      <scheme val="minor"/>
    </font>
    <font>
      <b/>
      <sz val="12"/>
      <color rgb="FF0000CC"/>
      <name val="Calibri"/>
      <family val="2"/>
      <scheme val="minor"/>
    </font>
    <font>
      <b/>
      <sz val="20"/>
      <color rgb="FF000099"/>
      <name val="Calibri"/>
      <family val="2"/>
      <scheme val="minor"/>
    </font>
    <font>
      <b/>
      <sz val="18"/>
      <color theme="1"/>
      <name val="Calibri"/>
      <family val="2"/>
      <scheme val="minor"/>
    </font>
    <font>
      <sz val="16"/>
      <color theme="1"/>
      <name val="Calibri"/>
      <family val="2"/>
      <scheme val="minor"/>
    </font>
    <font>
      <b/>
      <sz val="15"/>
      <color theme="1"/>
      <name val="Calibri"/>
      <family val="2"/>
      <scheme val="minor"/>
    </font>
    <font>
      <b/>
      <sz val="11"/>
      <name val="Calibri"/>
      <family val="2"/>
      <scheme val="minor"/>
    </font>
    <font>
      <b/>
      <sz val="14"/>
      <name val="Calibri"/>
      <family val="2"/>
      <scheme val="minor"/>
    </font>
    <font>
      <b/>
      <u/>
      <sz val="12"/>
      <color rgb="FF0000CC"/>
      <name val="Calibri"/>
      <family val="2"/>
      <scheme val="minor"/>
    </font>
    <font>
      <b/>
      <sz val="13"/>
      <color rgb="FF0000CC"/>
      <name val="Calibri"/>
      <family val="2"/>
      <scheme val="minor"/>
    </font>
    <font>
      <b/>
      <u/>
      <sz val="13"/>
      <color rgb="FF0000CC"/>
      <name val="Calibri"/>
      <family val="2"/>
      <scheme val="minor"/>
    </font>
    <font>
      <sz val="15"/>
      <color theme="1"/>
      <name val="Calibri"/>
      <family val="2"/>
      <scheme val="minor"/>
    </font>
    <font>
      <sz val="14"/>
      <color theme="1"/>
      <name val="Calibri"/>
      <family val="2"/>
      <scheme val="minor"/>
    </font>
    <font>
      <b/>
      <sz val="20"/>
      <color rgb="FF0000CC"/>
      <name val="Calibri"/>
      <family val="2"/>
      <scheme val="minor"/>
    </font>
    <font>
      <b/>
      <sz val="24"/>
      <color theme="1"/>
      <name val="Calibri"/>
      <family val="2"/>
      <scheme val="minor"/>
    </font>
    <font>
      <b/>
      <sz val="22"/>
      <color theme="1"/>
      <name val="Calibri"/>
      <family val="2"/>
      <scheme val="minor"/>
    </font>
    <font>
      <i/>
      <sz val="11"/>
      <color theme="1"/>
      <name val="Calibri"/>
      <family val="2"/>
      <scheme val="minor"/>
    </font>
  </fonts>
  <fills count="14">
    <fill>
      <patternFill patternType="none"/>
    </fill>
    <fill>
      <patternFill patternType="gray125"/>
    </fill>
    <fill>
      <patternFill patternType="solid">
        <fgColor theme="9"/>
        <bgColor indexed="64"/>
      </patternFill>
    </fill>
    <fill>
      <patternFill patternType="solid">
        <fgColor rgb="FFFFFF99"/>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rgb="FFFF6600"/>
        <bgColor indexed="64"/>
      </patternFill>
    </fill>
    <fill>
      <patternFill patternType="solid">
        <fgColor rgb="FFFF0000"/>
        <bgColor indexed="64"/>
      </patternFill>
    </fill>
    <fill>
      <patternFill patternType="solid">
        <fgColor rgb="FFFF7C80"/>
        <bgColor indexed="64"/>
      </patternFill>
    </fill>
    <fill>
      <patternFill patternType="solid">
        <fgColor theme="0" tint="-0.14999847407452621"/>
        <bgColor indexed="64"/>
      </patternFill>
    </fill>
    <fill>
      <patternFill patternType="solid">
        <fgColor theme="0" tint="-0.249977111117893"/>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2">
    <xf numFmtId="0" fontId="0" fillId="0" borderId="0"/>
    <xf numFmtId="43" fontId="6" fillId="0" borderId="0" applyFont="0" applyFill="0" applyBorder="0" applyAlignment="0" applyProtection="0"/>
  </cellStyleXfs>
  <cellXfs count="223">
    <xf numFmtId="0" fontId="0" fillId="0" borderId="0" xfId="0"/>
    <xf numFmtId="0" fontId="0" fillId="0" borderId="1" xfId="0" applyBorder="1" applyAlignment="1">
      <alignment horizontal="center"/>
    </xf>
    <xf numFmtId="164" fontId="0" fillId="0" borderId="1" xfId="0" applyNumberFormat="1" applyBorder="1" applyAlignment="1">
      <alignment horizontal="center"/>
    </xf>
    <xf numFmtId="0" fontId="0" fillId="0" borderId="0" xfId="0" applyAlignment="1">
      <alignment horizontal="left" vertical="center"/>
    </xf>
    <xf numFmtId="0" fontId="2" fillId="0" borderId="0" xfId="0" applyFont="1" applyAlignment="1">
      <alignment horizontal="left" vertical="center"/>
    </xf>
    <xf numFmtId="0" fontId="2" fillId="0" borderId="0" xfId="0" applyFont="1"/>
    <xf numFmtId="0" fontId="2" fillId="0" borderId="0" xfId="0" applyFont="1" applyFill="1" applyBorder="1" applyAlignment="1">
      <alignment horizontal="left" vertical="center"/>
    </xf>
    <xf numFmtId="0" fontId="3" fillId="2" borderId="0" xfId="0" applyFont="1" applyFill="1"/>
    <xf numFmtId="0" fontId="4" fillId="3" borderId="5" xfId="0" applyFont="1" applyFill="1" applyBorder="1"/>
    <xf numFmtId="0" fontId="4" fillId="3" borderId="6" xfId="0" applyFont="1" applyFill="1" applyBorder="1"/>
    <xf numFmtId="0" fontId="4" fillId="3" borderId="8" xfId="0" applyFont="1" applyFill="1" applyBorder="1"/>
    <xf numFmtId="0" fontId="4" fillId="3" borderId="10" xfId="0" applyFont="1" applyFill="1" applyBorder="1"/>
    <xf numFmtId="0" fontId="2" fillId="0" borderId="0" xfId="0" applyFont="1" applyFill="1" applyBorder="1" applyAlignment="1">
      <alignment vertical="center" wrapText="1"/>
    </xf>
    <xf numFmtId="0" fontId="0" fillId="0" borderId="9" xfId="0" applyBorder="1" applyAlignment="1">
      <alignment horizontal="center"/>
    </xf>
    <xf numFmtId="0" fontId="0" fillId="0" borderId="8" xfId="0" applyBorder="1" applyAlignment="1">
      <alignment horizontal="center"/>
    </xf>
    <xf numFmtId="0" fontId="1" fillId="0" borderId="7"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5" xfId="0" applyFont="1" applyBorder="1" applyAlignment="1">
      <alignment horizontal="center" vertical="center" wrapText="1"/>
    </xf>
    <xf numFmtId="0" fontId="0" fillId="0" borderId="4" xfId="0" applyBorder="1" applyAlignment="1">
      <alignment horizontal="center"/>
    </xf>
    <xf numFmtId="164" fontId="0" fillId="0" borderId="14" xfId="0" applyNumberFormat="1" applyBorder="1" applyAlignment="1">
      <alignment horizontal="center"/>
    </xf>
    <xf numFmtId="0" fontId="0" fillId="0" borderId="14" xfId="0" applyBorder="1" applyAlignment="1">
      <alignment horizontal="center"/>
    </xf>
    <xf numFmtId="0" fontId="0" fillId="0" borderId="2" xfId="0" applyBorder="1" applyAlignment="1">
      <alignment horizontal="center"/>
    </xf>
    <xf numFmtId="0" fontId="2" fillId="0" borderId="0" xfId="0" applyFont="1" applyFill="1" applyBorder="1" applyAlignment="1">
      <alignment vertical="center"/>
    </xf>
    <xf numFmtId="0" fontId="2" fillId="0" borderId="0" xfId="0" applyFont="1" applyAlignment="1"/>
    <xf numFmtId="0" fontId="0" fillId="0" borderId="13" xfId="0" applyBorder="1" applyAlignment="1">
      <alignment horizontal="center"/>
    </xf>
    <xf numFmtId="0" fontId="7"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165" fontId="0" fillId="0" borderId="13" xfId="1" applyNumberFormat="1" applyFont="1" applyBorder="1" applyAlignment="1">
      <alignment horizontal="center"/>
    </xf>
    <xf numFmtId="165" fontId="0" fillId="0" borderId="1" xfId="1" applyNumberFormat="1" applyFont="1" applyBorder="1" applyAlignment="1">
      <alignment horizontal="center"/>
    </xf>
    <xf numFmtId="165" fontId="0" fillId="0" borderId="14" xfId="1" applyNumberFormat="1" applyFont="1" applyBorder="1" applyAlignment="1">
      <alignment horizontal="center"/>
    </xf>
    <xf numFmtId="165" fontId="0" fillId="0" borderId="13" xfId="0" applyNumberFormat="1" applyBorder="1" applyAlignment="1">
      <alignment horizontal="center"/>
    </xf>
    <xf numFmtId="165" fontId="0" fillId="0" borderId="1" xfId="0" applyNumberFormat="1" applyBorder="1" applyAlignment="1">
      <alignment horizontal="center"/>
    </xf>
    <xf numFmtId="165" fontId="0" fillId="0" borderId="14" xfId="0" applyNumberFormat="1" applyBorder="1" applyAlignment="1">
      <alignment horizontal="center"/>
    </xf>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165" fontId="0" fillId="0" borderId="1" xfId="0" applyNumberFormat="1" applyBorder="1"/>
    <xf numFmtId="0" fontId="1" fillId="0" borderId="1" xfId="0" applyFont="1" applyBorder="1" applyAlignment="1">
      <alignment horizontal="left"/>
    </xf>
    <xf numFmtId="165" fontId="1" fillId="0" borderId="1" xfId="0" applyNumberFormat="1" applyFont="1" applyBorder="1"/>
    <xf numFmtId="0" fontId="0" fillId="0" borderId="1" xfId="0" applyNumberFormat="1" applyBorder="1" applyAlignment="1">
      <alignment horizontal="center" vertical="center"/>
    </xf>
    <xf numFmtId="0" fontId="2" fillId="0" borderId="1" xfId="0" pivotButton="1" applyFont="1" applyBorder="1"/>
    <xf numFmtId="0" fontId="2" fillId="0" borderId="1" xfId="0" applyFont="1" applyBorder="1"/>
    <xf numFmtId="0" fontId="4" fillId="0" borderId="1" xfId="0" applyFont="1" applyBorder="1" applyAlignment="1">
      <alignment horizontal="left"/>
    </xf>
    <xf numFmtId="0" fontId="4" fillId="0" borderId="1" xfId="0" applyNumberFormat="1" applyFont="1" applyBorder="1"/>
    <xf numFmtId="0" fontId="2" fillId="0" borderId="1" xfId="0" applyFont="1" applyBorder="1" applyAlignment="1">
      <alignment horizontal="left"/>
    </xf>
    <xf numFmtId="0" fontId="2" fillId="0" borderId="1" xfId="0" applyNumberFormat="1" applyFont="1" applyBorder="1"/>
    <xf numFmtId="0" fontId="0" fillId="0" borderId="1" xfId="0" pivotButton="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1" xfId="0" applyNumberFormat="1" applyFont="1" applyBorder="1" applyAlignment="1">
      <alignment horizontal="center" vertical="center"/>
    </xf>
    <xf numFmtId="0" fontId="2" fillId="4" borderId="1" xfId="0" applyFont="1" applyFill="1" applyBorder="1"/>
    <xf numFmtId="0" fontId="2" fillId="4" borderId="1" xfId="0" applyFont="1" applyFill="1" applyBorder="1" applyAlignment="1">
      <alignment horizontal="center"/>
    </xf>
    <xf numFmtId="0" fontId="4" fillId="6" borderId="1" xfId="0" applyFont="1" applyFill="1" applyBorder="1" applyAlignment="1">
      <alignment horizontal="center" vertical="center"/>
    </xf>
    <xf numFmtId="0" fontId="9" fillId="4" borderId="1" xfId="0" applyFont="1" applyFill="1" applyBorder="1"/>
    <xf numFmtId="0" fontId="9" fillId="4" borderId="1" xfId="0" applyFont="1" applyFill="1" applyBorder="1" applyAlignment="1">
      <alignment horizontal="center"/>
    </xf>
    <xf numFmtId="0" fontId="0" fillId="0" borderId="1" xfId="0" applyBorder="1" applyAlignment="1">
      <alignment horizontal="left" indent="1"/>
    </xf>
    <xf numFmtId="0" fontId="1" fillId="0" borderId="1" xfId="0" pivotButton="1" applyFont="1" applyBorder="1" applyAlignment="1">
      <alignment horizontal="center" vertical="center"/>
    </xf>
    <xf numFmtId="0" fontId="1" fillId="6" borderId="1" xfId="0" applyFont="1" applyFill="1" applyBorder="1" applyAlignment="1">
      <alignment horizontal="left" indent="1"/>
    </xf>
    <xf numFmtId="0" fontId="4" fillId="7" borderId="1" xfId="0" applyFont="1" applyFill="1" applyBorder="1" applyAlignment="1">
      <alignment horizontal="center" vertical="center"/>
    </xf>
    <xf numFmtId="0" fontId="2" fillId="0" borderId="1" xfId="0" applyFont="1" applyFill="1" applyBorder="1" applyAlignment="1">
      <alignment horizontal="left"/>
    </xf>
    <xf numFmtId="166" fontId="2" fillId="0" borderId="1" xfId="0" applyNumberFormat="1" applyFont="1" applyFill="1" applyBorder="1" applyAlignment="1">
      <alignment horizontal="center" vertical="center"/>
    </xf>
    <xf numFmtId="2" fontId="3" fillId="0"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2" fillId="0" borderId="1" xfId="0" applyFont="1" applyBorder="1" applyAlignment="1">
      <alignment horizontal="left" indent="1"/>
    </xf>
    <xf numFmtId="165" fontId="2" fillId="0" borderId="1" xfId="0" applyNumberFormat="1" applyFont="1" applyBorder="1"/>
    <xf numFmtId="165" fontId="4" fillId="0" borderId="1" xfId="0" applyNumberFormat="1" applyFont="1" applyBorder="1"/>
    <xf numFmtId="0" fontId="2" fillId="4" borderId="1" xfId="0" applyFont="1" applyFill="1" applyBorder="1" applyAlignment="1">
      <alignment horizontal="left" indent="1"/>
    </xf>
    <xf numFmtId="165" fontId="4" fillId="4" borderId="1" xfId="0" applyNumberFormat="1" applyFont="1" applyFill="1" applyBorder="1"/>
    <xf numFmtId="0" fontId="0" fillId="0" borderId="1" xfId="0" applyNumberFormat="1" applyBorder="1" applyAlignment="1">
      <alignment horizontal="center"/>
    </xf>
    <xf numFmtId="0" fontId="0" fillId="0" borderId="0" xfId="0" quotePrefix="1" applyNumberFormat="1" applyBorder="1" applyAlignment="1">
      <alignment horizontal="center" vertical="center"/>
    </xf>
    <xf numFmtId="0" fontId="0" fillId="0" borderId="0" xfId="0" applyNumberFormat="1" applyBorder="1" applyAlignment="1">
      <alignment horizontal="center" vertical="center"/>
    </xf>
    <xf numFmtId="0" fontId="0" fillId="0" borderId="0" xfId="0" applyBorder="1"/>
    <xf numFmtId="0" fontId="3" fillId="0" borderId="0" xfId="0" applyFont="1" applyFill="1" applyAlignment="1"/>
    <xf numFmtId="0" fontId="11" fillId="0" borderId="0" xfId="0" applyFont="1" applyFill="1" applyAlignment="1">
      <alignment vertical="center"/>
    </xf>
    <xf numFmtId="0" fontId="1" fillId="10" borderId="1" xfId="0" applyNumberFormat="1" applyFont="1" applyFill="1" applyBorder="1" applyAlignment="1">
      <alignment horizontal="center" vertical="center"/>
    </xf>
    <xf numFmtId="0" fontId="1" fillId="9" borderId="1" xfId="0" applyNumberFormat="1" applyFont="1" applyFill="1" applyBorder="1" applyAlignment="1">
      <alignment horizontal="center" vertical="center"/>
    </xf>
    <xf numFmtId="0" fontId="1" fillId="11" borderId="1" xfId="0" applyNumberFormat="1" applyFont="1" applyFill="1" applyBorder="1" applyAlignment="1">
      <alignment horizontal="center" vertical="center"/>
    </xf>
    <xf numFmtId="0" fontId="10" fillId="6" borderId="30" xfId="0" applyFont="1" applyFill="1" applyBorder="1" applyAlignment="1">
      <alignment horizontal="center" vertical="center"/>
    </xf>
    <xf numFmtId="0" fontId="1" fillId="6" borderId="21" xfId="0" applyFont="1" applyFill="1" applyBorder="1" applyAlignment="1">
      <alignment horizontal="center" vertical="center"/>
    </xf>
    <xf numFmtId="0" fontId="1" fillId="6" borderId="22" xfId="0" applyFont="1" applyFill="1" applyBorder="1" applyAlignment="1">
      <alignment horizontal="center" vertical="center"/>
    </xf>
    <xf numFmtId="0" fontId="1" fillId="8" borderId="28" xfId="0" quotePrefix="1" applyNumberFormat="1" applyFont="1" applyFill="1" applyBorder="1" applyAlignment="1">
      <alignment horizontal="center" vertical="center"/>
    </xf>
    <xf numFmtId="0" fontId="1" fillId="10" borderId="24" xfId="0" applyNumberFormat="1" applyFont="1" applyFill="1" applyBorder="1" applyAlignment="1">
      <alignment horizontal="center" vertical="center"/>
    </xf>
    <xf numFmtId="16" fontId="1" fillId="8" borderId="28" xfId="0" quotePrefix="1" applyNumberFormat="1" applyFont="1" applyFill="1" applyBorder="1" applyAlignment="1">
      <alignment horizontal="center" vertical="center"/>
    </xf>
    <xf numFmtId="0" fontId="1" fillId="9" borderId="24" xfId="0" applyNumberFormat="1" applyFont="1" applyFill="1" applyBorder="1" applyAlignment="1">
      <alignment horizontal="center" vertical="center"/>
    </xf>
    <xf numFmtId="0" fontId="1" fillId="8" borderId="29" xfId="0" quotePrefix="1" applyNumberFormat="1" applyFont="1" applyFill="1" applyBorder="1" applyAlignment="1">
      <alignment horizontal="center" vertical="center"/>
    </xf>
    <xf numFmtId="0" fontId="1" fillId="9" borderId="26" xfId="0" applyNumberFormat="1" applyFont="1" applyFill="1" applyBorder="1" applyAlignment="1">
      <alignment horizontal="center" vertical="center"/>
    </xf>
    <xf numFmtId="0" fontId="1" fillId="11" borderId="26" xfId="0" applyNumberFormat="1" applyFont="1" applyFill="1" applyBorder="1" applyAlignment="1">
      <alignment horizontal="center" vertical="center"/>
    </xf>
    <xf numFmtId="0" fontId="1" fillId="11" borderId="27" xfId="0" applyNumberFormat="1" applyFont="1" applyFill="1" applyBorder="1" applyAlignment="1">
      <alignment horizontal="center" vertical="center"/>
    </xf>
    <xf numFmtId="0" fontId="15" fillId="4" borderId="30" xfId="0" applyFont="1" applyFill="1" applyBorder="1" applyAlignment="1">
      <alignment horizontal="center" wrapText="1"/>
    </xf>
    <xf numFmtId="0" fontId="16" fillId="10" borderId="21" xfId="0" applyFont="1" applyFill="1" applyBorder="1" applyAlignment="1">
      <alignment horizontal="center" vertical="center"/>
    </xf>
    <xf numFmtId="0" fontId="16" fillId="9" borderId="21" xfId="0" applyFont="1" applyFill="1" applyBorder="1" applyAlignment="1">
      <alignment horizontal="center" vertical="center"/>
    </xf>
    <xf numFmtId="0" fontId="16" fillId="11" borderId="22" xfId="0" applyFont="1" applyFill="1" applyBorder="1" applyAlignment="1">
      <alignment horizontal="center" vertical="center"/>
    </xf>
    <xf numFmtId="0" fontId="0" fillId="0" borderId="0" xfId="0" applyFill="1" applyBorder="1"/>
    <xf numFmtId="0" fontId="8" fillId="12" borderId="0" xfId="0" applyFont="1" applyFill="1"/>
    <xf numFmtId="0" fontId="2" fillId="12" borderId="0" xfId="0" applyFont="1" applyFill="1"/>
    <xf numFmtId="0" fontId="0" fillId="12" borderId="0" xfId="0" applyFill="1"/>
    <xf numFmtId="0" fontId="8" fillId="13" borderId="0" xfId="0" applyFont="1" applyFill="1"/>
    <xf numFmtId="0" fontId="2" fillId="13" borderId="0" xfId="0" applyFont="1" applyFill="1"/>
    <xf numFmtId="0" fontId="0" fillId="13" borderId="0" xfId="0" applyFill="1"/>
    <xf numFmtId="0" fontId="0" fillId="3" borderId="0" xfId="0" applyFill="1"/>
    <xf numFmtId="0" fontId="2" fillId="0" borderId="0" xfId="0" applyFont="1" applyAlignment="1">
      <alignment horizontal="left" vertical="center" indent="1"/>
    </xf>
    <xf numFmtId="0" fontId="2" fillId="0" borderId="0" xfId="0" applyFont="1" applyAlignment="1">
      <alignment horizontal="left" vertical="center" wrapText="1"/>
    </xf>
    <xf numFmtId="0" fontId="12" fillId="0" borderId="0" xfId="0" applyFont="1" applyAlignment="1">
      <alignment vertical="center"/>
    </xf>
    <xf numFmtId="0" fontId="12" fillId="0" borderId="0" xfId="0" applyFont="1" applyAlignment="1">
      <alignment horizontal="left" vertical="center"/>
    </xf>
    <xf numFmtId="0" fontId="2" fillId="0" borderId="0" xfId="0" applyFont="1" applyAlignment="1">
      <alignment vertical="center" wrapText="1"/>
    </xf>
    <xf numFmtId="0" fontId="1" fillId="0" borderId="0" xfId="0" applyFont="1"/>
    <xf numFmtId="0" fontId="25" fillId="0" borderId="0" xfId="0" applyFont="1"/>
    <xf numFmtId="0" fontId="2" fillId="0" borderId="1" xfId="0" applyFont="1" applyFill="1" applyBorder="1" applyAlignment="1">
      <alignment horizontal="left"/>
    </xf>
    <xf numFmtId="0" fontId="4" fillId="0" borderId="1" xfId="0" applyFont="1" applyFill="1" applyBorder="1" applyAlignment="1">
      <alignment horizontal="left"/>
    </xf>
    <xf numFmtId="0" fontId="2" fillId="0" borderId="8" xfId="0" applyFont="1" applyFill="1" applyBorder="1" applyAlignment="1">
      <alignment horizontal="center"/>
    </xf>
    <xf numFmtId="0" fontId="2" fillId="0" borderId="9" xfId="0" applyFont="1" applyFill="1" applyBorder="1" applyAlignment="1">
      <alignment horizontal="center"/>
    </xf>
    <xf numFmtId="0" fontId="3" fillId="0" borderId="8" xfId="0" applyFont="1" applyFill="1" applyBorder="1" applyAlignment="1">
      <alignment horizontal="center"/>
    </xf>
    <xf numFmtId="0" fontId="3" fillId="0" borderId="9" xfId="0" applyFont="1" applyFill="1" applyBorder="1" applyAlignment="1">
      <alignment horizontal="center"/>
    </xf>
    <xf numFmtId="0" fontId="4" fillId="7" borderId="8" xfId="0" applyFont="1" applyFill="1" applyBorder="1" applyAlignment="1">
      <alignment horizontal="center"/>
    </xf>
    <xf numFmtId="0" fontId="4" fillId="7" borderId="10" xfId="0" applyFont="1" applyFill="1" applyBorder="1" applyAlignment="1">
      <alignment horizontal="center"/>
    </xf>
    <xf numFmtId="0" fontId="4" fillId="7" borderId="9" xfId="0" applyFont="1" applyFill="1" applyBorder="1" applyAlignment="1">
      <alignment horizontal="center"/>
    </xf>
    <xf numFmtId="0" fontId="1" fillId="4" borderId="31" xfId="0" applyFont="1" applyFill="1" applyBorder="1" applyAlignment="1">
      <alignment horizontal="center" vertical="center" wrapText="1"/>
    </xf>
    <xf numFmtId="0" fontId="1" fillId="4" borderId="33" xfId="0" applyFont="1" applyFill="1" applyBorder="1" applyAlignment="1">
      <alignment horizontal="center" vertical="center" wrapText="1"/>
    </xf>
    <xf numFmtId="0" fontId="3" fillId="0" borderId="14" xfId="0" applyFont="1" applyBorder="1" applyAlignment="1">
      <alignment horizontal="center" vertical="center" wrapText="1"/>
    </xf>
    <xf numFmtId="0" fontId="3" fillId="0" borderId="34" xfId="0" applyFont="1" applyBorder="1" applyAlignment="1">
      <alignment horizontal="center" vertical="center" wrapText="1"/>
    </xf>
    <xf numFmtId="0" fontId="3" fillId="0" borderId="14" xfId="0" applyFont="1" applyBorder="1" applyAlignment="1">
      <alignment horizontal="center" vertical="center"/>
    </xf>
    <xf numFmtId="0" fontId="3" fillId="0" borderId="34" xfId="0" applyFont="1" applyBorder="1" applyAlignment="1">
      <alignment horizontal="center" vertical="center"/>
    </xf>
    <xf numFmtId="0" fontId="3" fillId="0" borderId="32" xfId="0" applyFont="1" applyBorder="1" applyAlignment="1">
      <alignment horizontal="center" vertical="center" wrapText="1"/>
    </xf>
    <xf numFmtId="0" fontId="3" fillId="0" borderId="35" xfId="0" applyFont="1" applyBorder="1" applyAlignment="1">
      <alignment horizontal="center" vertical="center" wrapText="1"/>
    </xf>
    <xf numFmtId="0" fontId="8" fillId="5" borderId="1" xfId="0" applyFont="1" applyFill="1" applyBorder="1" applyAlignment="1">
      <alignment horizontal="center" vertical="center" wrapText="1"/>
    </xf>
    <xf numFmtId="0" fontId="3" fillId="6" borderId="0" xfId="0" applyFont="1" applyFill="1" applyAlignment="1">
      <alignment horizontal="center" vertical="center"/>
    </xf>
    <xf numFmtId="0" fontId="3" fillId="4" borderId="1" xfId="0" applyFont="1" applyFill="1" applyBorder="1" applyAlignment="1">
      <alignment horizontal="center"/>
    </xf>
    <xf numFmtId="0" fontId="4" fillId="4" borderId="1" xfId="0" applyFont="1" applyFill="1" applyBorder="1" applyAlignment="1">
      <alignment horizontal="left" vertical="center" wrapText="1"/>
    </xf>
    <xf numFmtId="0" fontId="2" fillId="3" borderId="2" xfId="0" applyFont="1" applyFill="1" applyBorder="1" applyAlignment="1">
      <alignment horizontal="left" vertical="center" wrapText="1"/>
    </xf>
    <xf numFmtId="0" fontId="2" fillId="3" borderId="3" xfId="0" applyFont="1" applyFill="1" applyBorder="1" applyAlignment="1">
      <alignment horizontal="left" vertical="center" wrapText="1"/>
    </xf>
    <xf numFmtId="0" fontId="2" fillId="3" borderId="4" xfId="0" applyFont="1" applyFill="1" applyBorder="1" applyAlignment="1">
      <alignment horizontal="left" vertical="center" wrapText="1"/>
    </xf>
    <xf numFmtId="0" fontId="2" fillId="3" borderId="11" xfId="0" applyFont="1" applyFill="1" applyBorder="1" applyAlignment="1">
      <alignment horizontal="left" vertical="center" wrapText="1"/>
    </xf>
    <xf numFmtId="0" fontId="2" fillId="3" borderId="0" xfId="0" applyFont="1" applyFill="1" applyBorder="1" applyAlignment="1">
      <alignment horizontal="left" vertical="center" wrapText="1"/>
    </xf>
    <xf numFmtId="0" fontId="2" fillId="3" borderId="12" xfId="0" applyFont="1" applyFill="1" applyBorder="1" applyAlignment="1">
      <alignment horizontal="left" vertical="center" wrapText="1"/>
    </xf>
    <xf numFmtId="0" fontId="2" fillId="3" borderId="5" xfId="0" applyFont="1" applyFill="1" applyBorder="1" applyAlignment="1">
      <alignment horizontal="left" vertical="center" wrapText="1"/>
    </xf>
    <xf numFmtId="0" fontId="2" fillId="3" borderId="6" xfId="0" applyFont="1" applyFill="1" applyBorder="1" applyAlignment="1">
      <alignment horizontal="left" vertical="center" wrapText="1"/>
    </xf>
    <xf numFmtId="0" fontId="2" fillId="3" borderId="7" xfId="0" applyFont="1" applyFill="1" applyBorder="1" applyAlignment="1">
      <alignment horizontal="left" vertical="center" wrapText="1"/>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4" fillId="3" borderId="8" xfId="0" applyFont="1" applyFill="1" applyBorder="1" applyAlignment="1">
      <alignment horizontal="center"/>
    </xf>
    <xf numFmtId="0" fontId="4" fillId="3" borderId="9" xfId="0" applyFont="1" applyFill="1" applyBorder="1" applyAlignment="1">
      <alignment horizontal="center"/>
    </xf>
    <xf numFmtId="0" fontId="5" fillId="3" borderId="8" xfId="0" applyFont="1" applyFill="1" applyBorder="1" applyAlignment="1">
      <alignment horizontal="left" vertical="center"/>
    </xf>
    <xf numFmtId="0" fontId="5" fillId="3" borderId="10" xfId="0" applyFont="1" applyFill="1" applyBorder="1" applyAlignment="1">
      <alignment horizontal="left" vertical="center"/>
    </xf>
    <xf numFmtId="0" fontId="5" fillId="3" borderId="9" xfId="0" applyFont="1" applyFill="1" applyBorder="1" applyAlignment="1">
      <alignment horizontal="left" vertical="center"/>
    </xf>
    <xf numFmtId="0" fontId="4" fillId="4" borderId="1" xfId="0" applyFont="1" applyFill="1" applyBorder="1" applyAlignment="1">
      <alignment horizontal="left" vertical="center"/>
    </xf>
    <xf numFmtId="0" fontId="13" fillId="4" borderId="28" xfId="0" applyFont="1" applyFill="1" applyBorder="1" applyAlignment="1">
      <alignment horizontal="left" vertical="center"/>
    </xf>
    <xf numFmtId="0" fontId="13" fillId="4" borderId="1" xfId="0" applyFont="1" applyFill="1" applyBorder="1" applyAlignment="1">
      <alignment horizontal="left" vertical="center"/>
    </xf>
    <xf numFmtId="0" fontId="13" fillId="4" borderId="8" xfId="0" applyFont="1" applyFill="1" applyBorder="1" applyAlignment="1">
      <alignment horizontal="left" vertical="center"/>
    </xf>
    <xf numFmtId="0" fontId="13" fillId="4" borderId="29" xfId="0" applyFont="1" applyFill="1" applyBorder="1" applyAlignment="1">
      <alignment horizontal="left" vertical="center"/>
    </xf>
    <xf numFmtId="0" fontId="13" fillId="4" borderId="26" xfId="0" applyFont="1" applyFill="1" applyBorder="1" applyAlignment="1">
      <alignment horizontal="left" vertical="center"/>
    </xf>
    <xf numFmtId="0" fontId="13" fillId="4" borderId="37" xfId="0" applyFont="1" applyFill="1" applyBorder="1" applyAlignment="1">
      <alignment horizontal="left" vertical="center"/>
    </xf>
    <xf numFmtId="0" fontId="13" fillId="4" borderId="28" xfId="0" applyFont="1" applyFill="1" applyBorder="1" applyAlignment="1">
      <alignment horizontal="left" vertical="center" wrapText="1"/>
    </xf>
    <xf numFmtId="0" fontId="13" fillId="4" borderId="1" xfId="0" applyFont="1" applyFill="1" applyBorder="1" applyAlignment="1">
      <alignment horizontal="left" vertical="center" wrapText="1"/>
    </xf>
    <xf numFmtId="0" fontId="13" fillId="4" borderId="8" xfId="0" applyFont="1" applyFill="1" applyBorder="1" applyAlignment="1">
      <alignment horizontal="left" vertical="center" wrapText="1"/>
    </xf>
    <xf numFmtId="0" fontId="20" fillId="4" borderId="28" xfId="0" applyFont="1" applyFill="1" applyBorder="1" applyAlignment="1">
      <alignment horizontal="left" vertical="center" wrapText="1"/>
    </xf>
    <xf numFmtId="0" fontId="20" fillId="4" borderId="1" xfId="0" applyFont="1" applyFill="1" applyBorder="1" applyAlignment="1">
      <alignment horizontal="left" vertical="center" wrapText="1"/>
    </xf>
    <xf numFmtId="0" fontId="20" fillId="4" borderId="8" xfId="0" applyFont="1" applyFill="1" applyBorder="1" applyAlignment="1">
      <alignment horizontal="left" vertical="center" wrapText="1"/>
    </xf>
    <xf numFmtId="0" fontId="13" fillId="4" borderId="36" xfId="0" applyFont="1" applyFill="1" applyBorder="1" applyAlignment="1">
      <alignment horizontal="left" vertical="center" wrapText="1"/>
    </xf>
    <xf numFmtId="0" fontId="13" fillId="4" borderId="13" xfId="0" applyFont="1" applyFill="1" applyBorder="1" applyAlignment="1">
      <alignment horizontal="left" vertical="center" wrapText="1"/>
    </xf>
    <xf numFmtId="0" fontId="13" fillId="4" borderId="5" xfId="0" applyFont="1" applyFill="1" applyBorder="1" applyAlignment="1">
      <alignment horizontal="left" vertical="center" wrapText="1"/>
    </xf>
    <xf numFmtId="9" fontId="21" fillId="4" borderId="40" xfId="0" applyNumberFormat="1" applyFont="1" applyFill="1" applyBorder="1" applyAlignment="1">
      <alignment horizontal="center" vertical="center"/>
    </xf>
    <xf numFmtId="0" fontId="21" fillId="4" borderId="39" xfId="0" applyFont="1" applyFill="1" applyBorder="1" applyAlignment="1">
      <alignment horizontal="center" vertical="center"/>
    </xf>
    <xf numFmtId="165" fontId="12" fillId="0" borderId="0" xfId="0" applyNumberFormat="1" applyFont="1" applyFill="1" applyBorder="1" applyAlignment="1">
      <alignment horizontal="center" vertical="center"/>
    </xf>
    <xf numFmtId="0" fontId="13" fillId="4" borderId="25" xfId="0" applyFont="1" applyFill="1" applyBorder="1" applyAlignment="1">
      <alignment horizontal="left" vertical="center" wrapText="1"/>
    </xf>
    <xf numFmtId="0" fontId="13" fillId="4" borderId="3" xfId="0" applyFont="1" applyFill="1" applyBorder="1" applyAlignment="1">
      <alignment horizontal="left" vertical="center" wrapText="1"/>
    </xf>
    <xf numFmtId="0" fontId="13" fillId="4" borderId="23" xfId="0" applyFont="1" applyFill="1" applyBorder="1" applyAlignment="1">
      <alignment horizontal="left" vertical="center" wrapText="1"/>
    </xf>
    <xf numFmtId="0" fontId="13" fillId="4" borderId="6" xfId="0" applyFont="1" applyFill="1" applyBorder="1" applyAlignment="1">
      <alignment horizontal="left" vertical="center" wrapText="1"/>
    </xf>
    <xf numFmtId="165" fontId="12" fillId="4" borderId="25" xfId="0" applyNumberFormat="1" applyFont="1" applyFill="1" applyBorder="1" applyAlignment="1">
      <alignment horizontal="right" vertical="center"/>
    </xf>
    <xf numFmtId="165" fontId="12" fillId="4" borderId="3" xfId="0" applyNumberFormat="1" applyFont="1" applyFill="1" applyBorder="1" applyAlignment="1">
      <alignment horizontal="right" vertical="center"/>
    </xf>
    <xf numFmtId="165" fontId="12" fillId="4" borderId="23" xfId="0" applyNumberFormat="1" applyFont="1" applyFill="1" applyBorder="1" applyAlignment="1">
      <alignment horizontal="right" vertical="center"/>
    </xf>
    <xf numFmtId="165" fontId="12" fillId="4" borderId="6" xfId="0" applyNumberFormat="1" applyFont="1" applyFill="1" applyBorder="1" applyAlignment="1">
      <alignment horizontal="right" vertical="center"/>
    </xf>
    <xf numFmtId="165" fontId="12" fillId="4" borderId="25" xfId="0" quotePrefix="1" applyNumberFormat="1" applyFont="1" applyFill="1" applyBorder="1" applyAlignment="1">
      <alignment horizontal="right" vertical="center"/>
    </xf>
    <xf numFmtId="165" fontId="12" fillId="4" borderId="25" xfId="0" applyNumberFormat="1" applyFont="1" applyFill="1" applyBorder="1" applyAlignment="1">
      <alignment horizontal="center" vertical="center"/>
    </xf>
    <xf numFmtId="165" fontId="12" fillId="4" borderId="3" xfId="0" applyNumberFormat="1" applyFont="1" applyFill="1" applyBorder="1" applyAlignment="1">
      <alignment horizontal="center" vertical="center"/>
    </xf>
    <xf numFmtId="165" fontId="12" fillId="4" borderId="23" xfId="0" applyNumberFormat="1" applyFont="1" applyFill="1" applyBorder="1" applyAlignment="1">
      <alignment horizontal="center" vertical="center"/>
    </xf>
    <xf numFmtId="165" fontId="12" fillId="4" borderId="6" xfId="0" applyNumberFormat="1" applyFont="1" applyFill="1" applyBorder="1" applyAlignment="1">
      <alignment horizontal="center" vertical="center"/>
    </xf>
    <xf numFmtId="165" fontId="12" fillId="4" borderId="18" xfId="0" applyNumberFormat="1" applyFont="1" applyFill="1" applyBorder="1" applyAlignment="1">
      <alignment horizontal="center" vertical="center"/>
    </xf>
    <xf numFmtId="165" fontId="12" fillId="4" borderId="19" xfId="0" applyNumberFormat="1" applyFont="1" applyFill="1" applyBorder="1" applyAlignment="1">
      <alignment horizontal="center" vertical="center"/>
    </xf>
    <xf numFmtId="0" fontId="18" fillId="6" borderId="30" xfId="0" applyFont="1" applyFill="1" applyBorder="1" applyAlignment="1">
      <alignment horizontal="center" vertical="center"/>
    </xf>
    <xf numFmtId="0" fontId="18" fillId="6" borderId="28" xfId="0" applyFont="1" applyFill="1" applyBorder="1" applyAlignment="1">
      <alignment horizontal="center" vertical="center"/>
    </xf>
    <xf numFmtId="0" fontId="1" fillId="6" borderId="2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6" borderId="22" xfId="0" applyFont="1" applyFill="1" applyBorder="1" applyAlignment="1">
      <alignment horizontal="center" vertical="center" wrapText="1"/>
    </xf>
    <xf numFmtId="0" fontId="1" fillId="6" borderId="24" xfId="0" applyFont="1" applyFill="1" applyBorder="1" applyAlignment="1">
      <alignment horizontal="center" vertical="center" wrapText="1"/>
    </xf>
    <xf numFmtId="10" fontId="21" fillId="4" borderId="40" xfId="0" applyNumberFormat="1" applyFont="1" applyFill="1" applyBorder="1" applyAlignment="1">
      <alignment horizontal="center" vertical="center"/>
    </xf>
    <xf numFmtId="165" fontId="12" fillId="4" borderId="15" xfId="0" applyNumberFormat="1" applyFont="1" applyFill="1" applyBorder="1" applyAlignment="1">
      <alignment horizontal="center" vertical="center"/>
    </xf>
    <xf numFmtId="165" fontId="12" fillId="4" borderId="16" xfId="0" applyNumberFormat="1" applyFont="1" applyFill="1" applyBorder="1" applyAlignment="1">
      <alignment horizontal="center" vertical="center"/>
    </xf>
    <xf numFmtId="165" fontId="14" fillId="4" borderId="25" xfId="0" applyNumberFormat="1" applyFont="1" applyFill="1" applyBorder="1" applyAlignment="1">
      <alignment horizontal="right" vertical="center"/>
    </xf>
    <xf numFmtId="165" fontId="14" fillId="4" borderId="3" xfId="0" applyNumberFormat="1" applyFont="1" applyFill="1" applyBorder="1" applyAlignment="1">
      <alignment horizontal="right" vertical="center"/>
    </xf>
    <xf numFmtId="165" fontId="14" fillId="4" borderId="23" xfId="0" applyNumberFormat="1" applyFont="1" applyFill="1" applyBorder="1" applyAlignment="1">
      <alignment horizontal="right" vertical="center"/>
    </xf>
    <xf numFmtId="165" fontId="14" fillId="4" borderId="6" xfId="0" applyNumberFormat="1" applyFont="1" applyFill="1" applyBorder="1" applyAlignment="1">
      <alignment horizontal="right" vertical="center"/>
    </xf>
    <xf numFmtId="0" fontId="21" fillId="4" borderId="41" xfId="0" applyFont="1" applyFill="1" applyBorder="1" applyAlignment="1">
      <alignment horizontal="center" vertical="center"/>
    </xf>
    <xf numFmtId="0" fontId="22" fillId="4" borderId="15" xfId="0" applyFont="1" applyFill="1" applyBorder="1" applyAlignment="1">
      <alignment horizontal="center" vertical="center" wrapText="1"/>
    </xf>
    <xf numFmtId="0" fontId="22" fillId="4" borderId="16" xfId="0" applyFont="1" applyFill="1" applyBorder="1" applyAlignment="1">
      <alignment horizontal="center" vertical="center" wrapText="1"/>
    </xf>
    <xf numFmtId="0" fontId="22" fillId="4" borderId="17" xfId="0" applyFont="1" applyFill="1" applyBorder="1" applyAlignment="1">
      <alignment horizontal="center" vertical="center" wrapText="1"/>
    </xf>
    <xf numFmtId="0" fontId="22" fillId="4" borderId="18" xfId="0" applyFont="1" applyFill="1" applyBorder="1" applyAlignment="1">
      <alignment horizontal="center" vertical="center" wrapText="1"/>
    </xf>
    <xf numFmtId="0" fontId="22" fillId="4" borderId="19" xfId="0" applyFont="1" applyFill="1" applyBorder="1" applyAlignment="1">
      <alignment horizontal="center" vertical="center" wrapText="1"/>
    </xf>
    <xf numFmtId="0" fontId="22" fillId="4" borderId="20" xfId="0" applyFont="1" applyFill="1" applyBorder="1" applyAlignment="1">
      <alignment horizontal="center" vertical="center" wrapText="1"/>
    </xf>
    <xf numFmtId="0" fontId="0" fillId="4" borderId="38" xfId="0" applyFill="1" applyBorder="1" applyAlignment="1">
      <alignment horizontal="center"/>
    </xf>
    <xf numFmtId="0" fontId="0" fillId="4" borderId="42" xfId="0" applyFill="1" applyBorder="1" applyAlignment="1">
      <alignment horizontal="center"/>
    </xf>
    <xf numFmtId="0" fontId="0" fillId="4" borderId="39" xfId="0" applyFill="1" applyBorder="1" applyAlignment="1">
      <alignment horizontal="center"/>
    </xf>
    <xf numFmtId="165" fontId="14" fillId="4" borderId="25" xfId="0" applyNumberFormat="1" applyFont="1" applyFill="1" applyBorder="1" applyAlignment="1">
      <alignment horizontal="center" vertical="center"/>
    </xf>
    <xf numFmtId="165" fontId="14" fillId="4" borderId="3" xfId="0" applyNumberFormat="1" applyFont="1" applyFill="1" applyBorder="1" applyAlignment="1">
      <alignment horizontal="center" vertical="center"/>
    </xf>
    <xf numFmtId="165" fontId="14" fillId="4" borderId="23" xfId="0" applyNumberFormat="1" applyFont="1" applyFill="1" applyBorder="1" applyAlignment="1">
      <alignment horizontal="center" vertical="center"/>
    </xf>
    <xf numFmtId="165" fontId="14" fillId="4" borderId="6" xfId="0" applyNumberFormat="1" applyFont="1" applyFill="1" applyBorder="1" applyAlignment="1">
      <alignment horizontal="center" vertical="center"/>
    </xf>
    <xf numFmtId="165" fontId="14" fillId="4" borderId="25" xfId="0" applyNumberFormat="1" applyFont="1" applyFill="1" applyBorder="1" applyAlignment="1">
      <alignment horizontal="right" vertical="center" wrapText="1"/>
    </xf>
    <xf numFmtId="165" fontId="14" fillId="4" borderId="3" xfId="0" applyNumberFormat="1" applyFont="1" applyFill="1" applyBorder="1" applyAlignment="1">
      <alignment horizontal="right" vertical="center" wrapText="1"/>
    </xf>
    <xf numFmtId="165" fontId="14" fillId="4" borderId="23" xfId="0" applyNumberFormat="1" applyFont="1" applyFill="1" applyBorder="1" applyAlignment="1">
      <alignment horizontal="right" vertical="center" wrapText="1"/>
    </xf>
    <xf numFmtId="165" fontId="14" fillId="4" borderId="6" xfId="0" applyNumberFormat="1" applyFont="1" applyFill="1" applyBorder="1" applyAlignment="1">
      <alignment horizontal="right" vertical="center" wrapText="1"/>
    </xf>
    <xf numFmtId="0" fontId="2" fillId="12" borderId="0" xfId="0" applyFont="1" applyFill="1" applyAlignment="1">
      <alignment horizontal="left" wrapText="1"/>
    </xf>
    <xf numFmtId="0" fontId="2" fillId="13" borderId="0" xfId="0" applyFont="1" applyFill="1" applyAlignment="1">
      <alignment horizontal="left" wrapText="1"/>
    </xf>
    <xf numFmtId="0" fontId="23" fillId="3" borderId="0" xfId="0" applyFont="1" applyFill="1" applyAlignment="1">
      <alignment horizontal="center" vertical="center"/>
    </xf>
    <xf numFmtId="0" fontId="24" fillId="3" borderId="0" xfId="0" applyFont="1" applyFill="1" applyAlignment="1">
      <alignment horizontal="center" vertical="center"/>
    </xf>
    <xf numFmtId="0" fontId="2" fillId="0" borderId="0" xfId="0" applyFont="1" applyAlignment="1">
      <alignment horizontal="left" vertical="center" wrapText="1"/>
    </xf>
  </cellXfs>
  <cellStyles count="2">
    <cellStyle name="Comma" xfId="1" builtinId="3"/>
    <cellStyle name="Normal" xfId="0" builtinId="0"/>
  </cellStyles>
  <dxfs count="147">
    <dxf>
      <font>
        <color rgb="FF9C0006"/>
      </font>
      <fill>
        <patternFill>
          <bgColor rgb="FFFFC7CE"/>
        </patternFill>
      </fill>
    </dxf>
    <dxf>
      <numFmt numFmtId="165" formatCode="_(* #,##0_);_(* \(#,##0\);_(*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_(* #,##0_);_(* \(#,##0\);_(*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yyyy\-mm\-dd"/>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sz val="12"/>
      </font>
    </dxf>
    <dxf>
      <font>
        <sz val="12"/>
      </font>
    </dxf>
    <dxf>
      <font>
        <sz val="12"/>
      </font>
    </dxf>
    <dxf>
      <font>
        <sz val="12"/>
      </font>
    </dxf>
    <dxf>
      <font>
        <sz val="12"/>
      </font>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ont>
        <b/>
      </font>
    </dxf>
    <dxf>
      <font>
        <b/>
      </font>
    </dxf>
    <dxf>
      <font>
        <b/>
      </font>
    </dxf>
    <dxf>
      <font>
        <b/>
      </font>
    </dxf>
    <dxf>
      <numFmt numFmtId="165" formatCode="_(* #,##0_);_(* \(#,##0\);_(* &quot;-&quot;??_);_(@_)"/>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006100"/>
      </font>
      <fill>
        <patternFill>
          <bgColor rgb="FFC6EFCE"/>
        </patternFill>
      </fill>
    </dxf>
    <dxf>
      <font>
        <b/>
      </font>
    </dxf>
    <dxf>
      <fill>
        <patternFill patternType="solid">
          <bgColor rgb="FFFFC000"/>
        </patternFill>
      </fill>
    </dxf>
    <dxf>
      <fill>
        <patternFill patternType="solid">
          <bgColor rgb="FFFFC000"/>
        </patternFill>
      </fill>
    </dxf>
    <dxf>
      <font>
        <b/>
      </font>
    </dxf>
    <dxf>
      <font>
        <b/>
      </font>
    </dxf>
    <dxf>
      <fill>
        <patternFill patternType="solid">
          <bgColor rgb="FFFFC000"/>
        </patternFill>
      </fill>
    </dxf>
    <dxf>
      <fill>
        <patternFill patternType="solid">
          <bgColor rgb="FFFFC000"/>
        </patternFill>
      </fill>
    </dxf>
    <dxf>
      <font>
        <b/>
      </font>
    </dxf>
    <dxf>
      <font>
        <b/>
      </font>
    </dxf>
    <dxf>
      <fill>
        <patternFill patternType="solid">
          <bgColor rgb="FFFFC000"/>
        </patternFill>
      </fill>
    </dxf>
    <dxf>
      <fill>
        <patternFill patternType="solid">
          <bgColor rgb="FFFFC000"/>
        </patternFill>
      </fill>
    </dxf>
    <dxf>
      <font>
        <b/>
      </font>
    </dxf>
    <dxf>
      <fill>
        <patternFill patternType="solid">
          <bgColor rgb="FFFFC000"/>
        </patternFill>
      </fill>
    </dxf>
    <dxf>
      <font>
        <b/>
      </font>
    </dxf>
    <dxf>
      <font>
        <b/>
      </font>
    </dxf>
    <dxf>
      <fill>
        <patternFill patternType="solid">
          <bgColor rgb="FFFFC000"/>
        </patternFill>
      </fill>
    </dxf>
    <dxf>
      <fill>
        <patternFill patternType="solid">
          <bgColor rgb="FFFFC000"/>
        </patternFill>
      </fill>
    </dxf>
    <dxf>
      <font>
        <b/>
      </font>
    </dxf>
    <dxf>
      <font>
        <b/>
      </font>
    </dxf>
    <dxf>
      <font>
        <b/>
      </font>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006100"/>
      </font>
      <fill>
        <patternFill>
          <bgColor rgb="FFC6EFCE"/>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font>
    </dxf>
    <dxf>
      <numFmt numFmtId="165"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font>
        <b/>
      </font>
    </dxf>
    <dxf>
      <numFmt numFmtId="165"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auto="1"/>
      </font>
      <fill>
        <patternFill>
          <bgColor rgb="FF92D050"/>
        </patternFill>
      </fill>
    </dxf>
  </dxfs>
  <tableStyles count="0" defaultTableStyle="TableStyleMedium9" defaultPivotStyle="PivotStyleLight16"/>
  <colors>
    <mruColors>
      <color rgb="FF0000CC"/>
      <color rgb="FFFF6600"/>
      <color rgb="FFFF7C80"/>
      <color rgb="FFFF0000"/>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[Project-003-Warehouse-Inventory-Analysis.xlsx]WH vs Inv_value!PivotTable2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Warehouse vs Inventory Value</a:t>
            </a:r>
          </a:p>
        </c:rich>
      </c:tx>
      <c:layout>
        <c:manualLayout>
          <c:xMode val="edge"/>
          <c:yMode val="edge"/>
          <c:x val="0.28403455818022749"/>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'WH vs Inv_value'!$B$3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524-402A-8433-0B9BBC8A346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524-402A-8433-0B9BBC8A346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524-402A-8433-0B9BBC8A346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'WH vs Inv_value'!$A$4:$A$7</c:f>
              <c:strCache>
                <c:ptCount val="3"/>
                <c:pt idx="0">
                  <c:v>WH-A</c:v>
                </c:pt>
                <c:pt idx="1">
                  <c:v>WH-B</c:v>
                </c:pt>
                <c:pt idx="2">
                  <c:v>WH-C</c:v>
                </c:pt>
              </c:strCache>
            </c:strRef>
          </c:cat>
          <c:val>
            <c:numRef>
              <c:f>'WH vs Inv_value'!$B$4:$B$7</c:f>
              <c:numCache>
                <c:formatCode>_(* #,##0_);_(* \(#,##0\);_(* "-"??_);_(@_)</c:formatCode>
                <c:ptCount val="3"/>
                <c:pt idx="0">
                  <c:v>2546136</c:v>
                </c:pt>
                <c:pt idx="1">
                  <c:v>2498849</c:v>
                </c:pt>
                <c:pt idx="2">
                  <c:v>2101832</c:v>
                </c:pt>
              </c:numCache>
            </c:numRef>
          </c:val>
          <c:extLst>
            <c:ext xmlns:c16="http://schemas.microsoft.com/office/drawing/2014/chart" uri="{C3380CC4-5D6E-409C-BE32-E72D297353CC}">
              <c16:uniqueId val="{00000000-6D05-42EA-B1CB-8B42B18EACEB}"/>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[Project-003-Warehouse-Inventory-Analysis.xlsx]Category vs Inv_value!PivotTable4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ysClr val="windowText" lastClr="000000"/>
                </a:solidFill>
              </a:rPr>
              <a:t>Category vs Inventory</a:t>
            </a:r>
            <a:r>
              <a:rPr lang="en-US" b="0" baseline="0">
                <a:solidFill>
                  <a:sysClr val="windowText" lastClr="000000"/>
                </a:solidFill>
              </a:rPr>
              <a:t> Value</a:t>
            </a:r>
            <a:endParaRPr lang="en-US"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'Category vs Inv_value'!$B$3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56A-4D61-B617-EB8B7406E08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56A-4D61-B617-EB8B7406E08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56A-4D61-B617-EB8B7406E08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56A-4D61-B617-EB8B7406E08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vs Inv_value'!$A$4:$A$8</c:f>
              <c:strCache>
                <c:ptCount val="4"/>
                <c:pt idx="0">
                  <c:v>Electrical</c:v>
                </c:pt>
                <c:pt idx="1">
                  <c:v>Mechanical</c:v>
                </c:pt>
                <c:pt idx="2">
                  <c:v>Packaging</c:v>
                </c:pt>
                <c:pt idx="3">
                  <c:v>Safety</c:v>
                </c:pt>
              </c:strCache>
            </c:strRef>
          </c:cat>
          <c:val>
            <c:numRef>
              <c:f>'Category vs Inv_value'!$B$4:$B$8</c:f>
              <c:numCache>
                <c:formatCode>_(* #,##0_);_(* \(#,##0\);_(* "-"??_);_(@_)</c:formatCode>
                <c:ptCount val="4"/>
                <c:pt idx="0">
                  <c:v>2067135</c:v>
                </c:pt>
                <c:pt idx="1">
                  <c:v>1761031</c:v>
                </c:pt>
                <c:pt idx="2">
                  <c:v>2098146</c:v>
                </c:pt>
                <c:pt idx="3">
                  <c:v>1220505</c:v>
                </c:pt>
              </c:numCache>
            </c:numRef>
          </c:val>
          <c:extLst>
            <c:ext xmlns:c16="http://schemas.microsoft.com/office/drawing/2014/chart" uri="{C3380CC4-5D6E-409C-BE32-E72D297353CC}">
              <c16:uniqueId val="{00000000-C5FE-4FE0-BE7C-BC9942B246C2}"/>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Item Value Category Analysis - </a:t>
            </a:r>
            <a:r>
              <a:rPr lang="en-US" sz="1200" b="1">
                <a:solidFill>
                  <a:sysClr val="windowText" lastClr="000000"/>
                </a:solidFill>
              </a:rPr>
              <a:t>High, Medium</a:t>
            </a:r>
            <a:r>
              <a:rPr lang="en-US" sz="1200" b="1" baseline="0">
                <a:solidFill>
                  <a:sysClr val="windowText" lastClr="000000"/>
                </a:solidFill>
              </a:rPr>
              <a:t>, Low</a:t>
            </a:r>
            <a:endParaRPr lang="en-US" sz="1200" b="1">
              <a:solidFill>
                <a:sysClr val="windowText" lastClr="000000"/>
              </a:solidFill>
            </a:endParaRPr>
          </a:p>
        </c:rich>
      </c:tx>
      <c:layout>
        <c:manualLayout>
          <c:xMode val="edge"/>
          <c:yMode val="edge"/>
          <c:x val="0.14424623325726166"/>
          <c:y val="3.94265232974910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Item_Value_Analysis!$F$4</c:f>
              <c:strCache>
                <c:ptCount val="1"/>
                <c:pt idx="0">
                  <c:v>No. of  individual items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67B-469D-BF23-3CC8056B16F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67B-469D-BF23-3CC8056B16F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2-7037-45A8-9A3B-F76F914EC2F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1-7037-45A8-9A3B-F76F914EC2FA}"/>
              </c:ext>
            </c:extLst>
          </c:dPt>
          <c:dLbls>
            <c:dLbl>
              <c:idx val="2"/>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492143906897828"/>
                      <c:h val="0.1663049330372165"/>
                    </c:manualLayout>
                  </c15:layout>
                </c:ext>
                <c:ext xmlns:c16="http://schemas.microsoft.com/office/drawing/2014/chart" uri="{C3380CC4-5D6E-409C-BE32-E72D297353CC}">
                  <c16:uniqueId val="{00000002-7037-45A8-9A3B-F76F914EC2FA}"/>
                </c:ext>
              </c:extLst>
            </c:dLbl>
            <c:dLbl>
              <c:idx val="3"/>
              <c:layout>
                <c:manualLayout>
                  <c:x val="7.8988941548183249E-3"/>
                  <c:y val="3.685503685503685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037-45A8-9A3B-F76F914EC2F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Item_Value_Analysis!$D$5:$E$8</c:f>
              <c:multiLvlStrCache>
                <c:ptCount val="4"/>
                <c:lvl>
                  <c:pt idx="0">
                    <c:v>401 above</c:v>
                  </c:pt>
                  <c:pt idx="1">
                    <c:v>251 - 400</c:v>
                  </c:pt>
                  <c:pt idx="2">
                    <c:v>101 - 250</c:v>
                  </c:pt>
                  <c:pt idx="3">
                    <c:v>1 - 100</c:v>
                  </c:pt>
                </c:lvl>
                <c:lvl>
                  <c:pt idx="0">
                    <c:v>High</c:v>
                  </c:pt>
                  <c:pt idx="1">
                    <c:v>Medium - Upper</c:v>
                  </c:pt>
                  <c:pt idx="2">
                    <c:v>Medium - Lower</c:v>
                  </c:pt>
                  <c:pt idx="3">
                    <c:v>Low</c:v>
                  </c:pt>
                </c:lvl>
              </c:multiLvlStrCache>
            </c:multiLvlStrRef>
          </c:cat>
          <c:val>
            <c:numRef>
              <c:f>Item_Value_Analysis!$F$5:$F$8</c:f>
              <c:numCache>
                <c:formatCode>General</c:formatCode>
                <c:ptCount val="4"/>
                <c:pt idx="0">
                  <c:v>7</c:v>
                </c:pt>
                <c:pt idx="1">
                  <c:v>14</c:v>
                </c:pt>
                <c:pt idx="2">
                  <c:v>14</c:v>
                </c:pt>
                <c:pt idx="3">
                  <c:v>4</c:v>
                </c:pt>
              </c:numCache>
            </c:numRef>
          </c:val>
          <c:extLst>
            <c:ext xmlns:c16="http://schemas.microsoft.com/office/drawing/2014/chart" uri="{C3380CC4-5D6E-409C-BE32-E72D297353CC}">
              <c16:uniqueId val="{00000000-7037-45A8-9A3B-F76F914EC2FA}"/>
            </c:ext>
          </c:extLst>
        </c:ser>
        <c:dLbls>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Re-order</a:t>
            </a:r>
            <a:r>
              <a:rPr lang="en-US" b="1" baseline="0"/>
              <a:t> Level Analysis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2-3833-4934-80AC-026FB7001A9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4-3833-4934-80AC-026FB7001A9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3-3833-4934-80AC-026FB7001A9A}"/>
              </c:ext>
            </c:extLst>
          </c:dPt>
          <c:dLbls>
            <c:dLbl>
              <c:idx val="0"/>
              <c:delete val="1"/>
              <c:extLst>
                <c:ext xmlns:c15="http://schemas.microsoft.com/office/drawing/2012/chart" uri="{CE6537A1-D6FC-4f65-9D91-7224C49458BB}"/>
                <c:ext xmlns:c16="http://schemas.microsoft.com/office/drawing/2014/chart" uri="{C3380CC4-5D6E-409C-BE32-E72D297353CC}">
                  <c16:uniqueId val="{00000002-3833-4934-80AC-026FB7001A9A}"/>
                </c:ext>
              </c:extLst>
            </c:dLbl>
            <c:dLbl>
              <c:idx val="1"/>
              <c:tx>
                <c:rich>
                  <a:bodyPr/>
                  <a:lstStyle/>
                  <a:p>
                    <a:r>
                      <a:rPr lang="en-US" baseline="0"/>
                      <a:t>129
</a:t>
                    </a:r>
                    <a:fld id="{7CD8F525-3A70-4E8D-9064-795D73999D7B}" type="PERCENTAGE">
                      <a:rPr lang="en-US" baseline="0"/>
                      <a:pPr/>
                      <a:t>[PERCENTAGE]</a:t>
                    </a:fld>
                    <a:endParaRPr lang="en-US" baseline="0"/>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3833-4934-80AC-026FB7001A9A}"/>
                </c:ext>
              </c:extLst>
            </c:dLbl>
            <c:dLbl>
              <c:idx val="2"/>
              <c:layout>
                <c:manualLayout>
                  <c:x val="-1.6666666666666614E-2"/>
                  <c:y val="3.2407407407407385E-2"/>
                </c:manualLayout>
              </c:layout>
              <c:tx>
                <c:rich>
                  <a:bodyPr/>
                  <a:lstStyle/>
                  <a:p>
                    <a:r>
                      <a:rPr lang="en-US" baseline="0"/>
                      <a:t>9
</a:t>
                    </a:r>
                    <a:fld id="{FD3F99B2-BB17-4CBA-8F7C-B6A750B928C2}"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833-4934-80AC-026FB7001A9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val>
            <c:numRef>
              <c:f>'Re-order_Level_Analysis'!$I$4:$I$6</c:f>
              <c:numCache>
                <c:formatCode>General</c:formatCode>
                <c:ptCount val="3"/>
                <c:pt idx="0">
                  <c:v>0</c:v>
                </c:pt>
                <c:pt idx="1">
                  <c:v>129</c:v>
                </c:pt>
                <c:pt idx="2">
                  <c:v>9</c:v>
                </c:pt>
              </c:numCache>
            </c:numRef>
          </c:val>
          <c:extLst>
            <c:ext xmlns:c16="http://schemas.microsoft.com/office/drawing/2014/chart" uri="{C3380CC4-5D6E-409C-BE32-E72D297353CC}">
              <c16:uniqueId val="{00000000-3833-4934-80AC-026FB7001A9A}"/>
            </c:ext>
          </c:extLst>
        </c:ser>
        <c:ser>
          <c:idx val="1"/>
          <c:order val="1"/>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7-22F1-4887-B5FF-F57AE9B347B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9-22F1-4887-B5FF-F57AE9B347B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B-22F1-4887-B5FF-F57AE9B347B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val>
            <c:numRef>
              <c:f>'Re-order_Level_Analysis'!$J$4:$J$6</c:f>
              <c:numCache>
                <c:formatCode>General</c:formatCode>
                <c:ptCount val="3"/>
              </c:numCache>
            </c:numRef>
          </c:val>
          <c:extLst>
            <c:ext xmlns:c16="http://schemas.microsoft.com/office/drawing/2014/chart" uri="{C3380CC4-5D6E-409C-BE32-E72D297353CC}">
              <c16:uniqueId val="{00000001-3833-4934-80AC-026FB7001A9A}"/>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[Project-003-Warehouse-Inventory-Analysis.xlsx]Supplier Distribution!PivotTable1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Supplier Distribution</a:t>
            </a:r>
          </a:p>
        </c:rich>
      </c:tx>
      <c:layout>
        <c:manualLayout>
          <c:xMode val="edge"/>
          <c:yMode val="edge"/>
          <c:x val="0.36742071233393642"/>
          <c:y val="5.80204964006055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dLbl>
          <c:idx val="0"/>
          <c:layout>
            <c:manualLayout>
              <c:x val="-6.4184852374839733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'Supplier Distribution'!$B$3</c:f>
              <c:strCache>
                <c:ptCount val="1"/>
                <c:pt idx="0">
                  <c:v>Total</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3FA3-4C4E-8F21-EEF1F6086C0C}"/>
              </c:ext>
            </c:extLst>
          </c:dPt>
          <c:dLbls>
            <c:dLbl>
              <c:idx val="0"/>
              <c:layout>
                <c:manualLayout>
                  <c:x val="-6.4184852374839733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FA3-4C4E-8F21-EEF1F6086C0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'Supplier Distribution'!$A$4:$A$21</c:f>
              <c:multiLvlStrCache>
                <c:ptCount val="13"/>
                <c:lvl>
                  <c:pt idx="0">
                    <c:v>Packaging</c:v>
                  </c:pt>
                  <c:pt idx="1">
                    <c:v>Safety</c:v>
                  </c:pt>
                  <c:pt idx="2">
                    <c:v>Electrical</c:v>
                  </c:pt>
                  <c:pt idx="3">
                    <c:v>Mechanical</c:v>
                  </c:pt>
                  <c:pt idx="4">
                    <c:v>Packaging</c:v>
                  </c:pt>
                  <c:pt idx="5">
                    <c:v>Electrical</c:v>
                  </c:pt>
                  <c:pt idx="6">
                    <c:v>Mechanical</c:v>
                  </c:pt>
                  <c:pt idx="7">
                    <c:v>Packaging</c:v>
                  </c:pt>
                  <c:pt idx="8">
                    <c:v>Safety</c:v>
                  </c:pt>
                  <c:pt idx="9">
                    <c:v>Electrical</c:v>
                  </c:pt>
                  <c:pt idx="10">
                    <c:v>Mechanical</c:v>
                  </c:pt>
                  <c:pt idx="11">
                    <c:v>Packaging</c:v>
                  </c:pt>
                  <c:pt idx="12">
                    <c:v>Safety</c:v>
                  </c:pt>
                </c:lvl>
                <c:lvl>
                  <c:pt idx="0">
                    <c:v>Alpha</c:v>
                  </c:pt>
                  <c:pt idx="2">
                    <c:v>Bravo</c:v>
                  </c:pt>
                  <c:pt idx="5">
                    <c:v>Central</c:v>
                  </c:pt>
                  <c:pt idx="9">
                    <c:v>Delta</c:v>
                  </c:pt>
                </c:lvl>
              </c:multiLvlStrCache>
            </c:multiLvlStrRef>
          </c:cat>
          <c:val>
            <c:numRef>
              <c:f>'Supplier Distribution'!$B$4:$B$21</c:f>
              <c:numCache>
                <c:formatCode>_(* #,##0_);_(* \(#,##0\);_(* "-"??_);_(@_)</c:formatCode>
                <c:ptCount val="13"/>
                <c:pt idx="0">
                  <c:v>294529</c:v>
                </c:pt>
                <c:pt idx="1">
                  <c:v>312864</c:v>
                </c:pt>
                <c:pt idx="2">
                  <c:v>166056</c:v>
                </c:pt>
                <c:pt idx="3">
                  <c:v>385398</c:v>
                </c:pt>
                <c:pt idx="4">
                  <c:v>744673</c:v>
                </c:pt>
                <c:pt idx="5">
                  <c:v>1498663</c:v>
                </c:pt>
                <c:pt idx="6">
                  <c:v>1184389</c:v>
                </c:pt>
                <c:pt idx="7">
                  <c:v>218012</c:v>
                </c:pt>
                <c:pt idx="8">
                  <c:v>676506</c:v>
                </c:pt>
                <c:pt idx="9">
                  <c:v>402416</c:v>
                </c:pt>
                <c:pt idx="10">
                  <c:v>191244</c:v>
                </c:pt>
                <c:pt idx="11">
                  <c:v>840932</c:v>
                </c:pt>
                <c:pt idx="12">
                  <c:v>231135</c:v>
                </c:pt>
              </c:numCache>
            </c:numRef>
          </c:val>
          <c:extLst>
            <c:ext xmlns:c16="http://schemas.microsoft.com/office/drawing/2014/chart" uri="{C3380CC4-5D6E-409C-BE32-E72D297353CC}">
              <c16:uniqueId val="{00000000-3FA3-4C4E-8F21-EEF1F6086C0C}"/>
            </c:ext>
          </c:extLst>
        </c:ser>
        <c:dLbls>
          <c:dLblPos val="outEnd"/>
          <c:showLegendKey val="0"/>
          <c:showVal val="1"/>
          <c:showCatName val="0"/>
          <c:showSerName val="0"/>
          <c:showPercent val="0"/>
          <c:showBubbleSize val="0"/>
        </c:dLbls>
        <c:gapWidth val="219"/>
        <c:overlap val="-27"/>
        <c:axId val="1786104672"/>
        <c:axId val="1786107072"/>
      </c:barChart>
      <c:catAx>
        <c:axId val="178610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786107072"/>
        <c:crosses val="autoZero"/>
        <c:auto val="1"/>
        <c:lblAlgn val="ctr"/>
        <c:lblOffset val="100"/>
        <c:noMultiLvlLbl val="0"/>
      </c:catAx>
      <c:valAx>
        <c:axId val="178610707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86104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[Project-003-Warehouse-Inventory-Analysis.xlsx]Inventory_ Criticality!PivotTable5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rPr>
              <a:t>Inventory Criticality Analysis</a:t>
            </a:r>
          </a:p>
        </c:rich>
      </c:tx>
      <c:layout>
        <c:manualLayout>
          <c:xMode val="edge"/>
          <c:yMode val="edge"/>
          <c:x val="0.2328611111111111"/>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dLbl>
          <c:idx val="0"/>
          <c:layout>
            <c:manualLayout>
              <c:x val="-2.7777777777777779E-3"/>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'Inventory_ Criticality'!$B$3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1CB-40B4-9850-CE10C104B0B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2-5B62-4302-BFC5-60DD6F82D09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1CB-40B4-9850-CE10C104B0B1}"/>
              </c:ext>
            </c:extLst>
          </c:dPt>
          <c:dLbls>
            <c:dLbl>
              <c:idx val="1"/>
              <c:layout>
                <c:manualLayout>
                  <c:x val="-2.7777777777777779E-3"/>
                  <c:y val="-5.092592592592592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B62-4302-BFC5-60DD6F82D09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'Inventory_ Criticality'!$A$4:$A$7</c:f>
              <c:strCache>
                <c:ptCount val="3"/>
                <c:pt idx="0">
                  <c:v>High</c:v>
                </c:pt>
                <c:pt idx="1">
                  <c:v>Low</c:v>
                </c:pt>
                <c:pt idx="2">
                  <c:v>Medium</c:v>
                </c:pt>
              </c:strCache>
            </c:strRef>
          </c:cat>
          <c:val>
            <c:numRef>
              <c:f>'Inventory_ Criticality'!$B$4:$B$7</c:f>
              <c:numCache>
                <c:formatCode>General</c:formatCode>
                <c:ptCount val="3"/>
                <c:pt idx="0">
                  <c:v>70</c:v>
                </c:pt>
                <c:pt idx="1">
                  <c:v>75</c:v>
                </c:pt>
                <c:pt idx="2">
                  <c:v>55</c:v>
                </c:pt>
              </c:numCache>
            </c:numRef>
          </c:val>
          <c:extLst>
            <c:ext xmlns:c16="http://schemas.microsoft.com/office/drawing/2014/chart" uri="{C3380CC4-5D6E-409C-BE32-E72D297353CC}">
              <c16:uniqueId val="{00000000-5B62-4302-BFC5-60DD6F82D09F}"/>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Lead-time Risk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'Lead-time Risk Analysis'!$G$4</c:f>
              <c:strCache>
                <c:ptCount val="1"/>
                <c:pt idx="0">
                  <c:v>01 - 10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'Lead-time Risk Analysis'!$H$3:$J$3</c:f>
              <c:strCache>
                <c:ptCount val="3"/>
                <c:pt idx="0">
                  <c:v>No. of "Criticality - High"</c:v>
                </c:pt>
                <c:pt idx="1">
                  <c:v>No. of "Criticality - Low"</c:v>
                </c:pt>
                <c:pt idx="2">
                  <c:v>No. of "Criticality - Medium"</c:v>
                </c:pt>
              </c:strCache>
            </c:strRef>
          </c:cat>
          <c:val>
            <c:numRef>
              <c:f>'Lead-time Risk Analysis'!$H$4:$J$4</c:f>
              <c:numCache>
                <c:formatCode>General</c:formatCode>
                <c:ptCount val="3"/>
                <c:pt idx="0">
                  <c:v>2</c:v>
                </c:pt>
                <c:pt idx="1">
                  <c:v>6</c:v>
                </c:pt>
                <c:pt idx="2">
                  <c:v>4</c:v>
                </c:pt>
              </c:numCache>
            </c:numRef>
          </c:val>
          <c:extLst>
            <c:ext xmlns:c16="http://schemas.microsoft.com/office/drawing/2014/chart" uri="{C3380CC4-5D6E-409C-BE32-E72D297353CC}">
              <c16:uniqueId val="{00000000-C521-42A0-A3F9-08353D305310}"/>
            </c:ext>
          </c:extLst>
        </c:ser>
        <c:ser>
          <c:idx val="1"/>
          <c:order val="1"/>
          <c:tx>
            <c:strRef>
              <c:f>'Lead-time Risk Analysis'!$G$5</c:f>
              <c:strCache>
                <c:ptCount val="1"/>
                <c:pt idx="0">
                  <c:v>11 - 20</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'Lead-time Risk Analysis'!$H$3:$J$3</c:f>
              <c:strCache>
                <c:ptCount val="3"/>
                <c:pt idx="0">
                  <c:v>No. of "Criticality - High"</c:v>
                </c:pt>
                <c:pt idx="1">
                  <c:v>No. of "Criticality - Low"</c:v>
                </c:pt>
                <c:pt idx="2">
                  <c:v>No. of "Criticality - Medium"</c:v>
                </c:pt>
              </c:strCache>
            </c:strRef>
          </c:cat>
          <c:val>
            <c:numRef>
              <c:f>'Lead-time Risk Analysis'!$H$5:$J$5</c:f>
              <c:numCache>
                <c:formatCode>General</c:formatCode>
                <c:ptCount val="3"/>
                <c:pt idx="0">
                  <c:v>6</c:v>
                </c:pt>
                <c:pt idx="1">
                  <c:v>3</c:v>
                </c:pt>
                <c:pt idx="2">
                  <c:v>5</c:v>
                </c:pt>
              </c:numCache>
            </c:numRef>
          </c:val>
          <c:extLst>
            <c:ext xmlns:c16="http://schemas.microsoft.com/office/drawing/2014/chart" uri="{C3380CC4-5D6E-409C-BE32-E72D297353CC}">
              <c16:uniqueId val="{00000001-C521-42A0-A3F9-08353D305310}"/>
            </c:ext>
          </c:extLst>
        </c:ser>
        <c:ser>
          <c:idx val="2"/>
          <c:order val="2"/>
          <c:tx>
            <c:strRef>
              <c:f>'Lead-time Risk Analysis'!$G$6</c:f>
              <c:strCache>
                <c:ptCount val="1"/>
                <c:pt idx="0">
                  <c:v>21 - 30</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'Lead-time Risk Analysis'!$H$3:$J$3</c:f>
              <c:strCache>
                <c:ptCount val="3"/>
                <c:pt idx="0">
                  <c:v>No. of "Criticality - High"</c:v>
                </c:pt>
                <c:pt idx="1">
                  <c:v>No. of "Criticality - Low"</c:v>
                </c:pt>
                <c:pt idx="2">
                  <c:v>No. of "Criticality - Medium"</c:v>
                </c:pt>
              </c:strCache>
            </c:strRef>
          </c:cat>
          <c:val>
            <c:numRef>
              <c:f>'Lead-time Risk Analysis'!$H$6:$J$6</c:f>
              <c:numCache>
                <c:formatCode>General</c:formatCode>
                <c:ptCount val="3"/>
                <c:pt idx="0">
                  <c:v>6</c:v>
                </c:pt>
                <c:pt idx="1">
                  <c:v>6</c:v>
                </c:pt>
                <c:pt idx="2">
                  <c:v>1</c:v>
                </c:pt>
              </c:numCache>
            </c:numRef>
          </c:val>
          <c:extLst>
            <c:ext xmlns:c16="http://schemas.microsoft.com/office/drawing/2014/chart" uri="{C3380CC4-5D6E-409C-BE32-E72D297353CC}">
              <c16:uniqueId val="{00000002-C521-42A0-A3F9-08353D305310}"/>
            </c:ext>
          </c:extLst>
        </c:ser>
        <c:dLbls>
          <c:dLblPos val="outEnd"/>
          <c:showLegendKey val="0"/>
          <c:showVal val="1"/>
          <c:showCatName val="0"/>
          <c:showSerName val="0"/>
          <c:showPercent val="0"/>
          <c:showBubbleSize val="0"/>
        </c:dLbls>
        <c:gapWidth val="219"/>
        <c:overlap val="-27"/>
        <c:axId val="1960948320"/>
        <c:axId val="1960954080"/>
      </c:barChart>
      <c:catAx>
        <c:axId val="196094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60954080"/>
        <c:crosses val="autoZero"/>
        <c:auto val="1"/>
        <c:lblAlgn val="ctr"/>
        <c:lblOffset val="100"/>
        <c:noMultiLvlLbl val="0"/>
      </c:catAx>
      <c:valAx>
        <c:axId val="1960954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948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[Project-003-Warehouse-Inventory-Analysis.xlsx]Category vs Inv_value!PivotTable4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ysClr val="windowText" lastClr="000000"/>
                </a:solidFill>
              </a:rPr>
              <a:t>Category vs Inventory</a:t>
            </a:r>
            <a:r>
              <a:rPr lang="en-US" b="0" baseline="0">
                <a:solidFill>
                  <a:sysClr val="windowText" lastClr="000000"/>
                </a:solidFill>
              </a:rPr>
              <a:t> Value</a:t>
            </a:r>
            <a:endParaRPr lang="en-US"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'Category vs Inv_value'!$B$3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E4C-4E87-9801-8CFB1BB7CF4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E4C-4E87-9801-8CFB1BB7CF4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E4C-4E87-9801-8CFB1BB7CF4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E4C-4E87-9801-8CFB1BB7CF4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'Category vs Inv_value'!$A$4:$A$8</c:f>
              <c:strCache>
                <c:ptCount val="4"/>
                <c:pt idx="0">
                  <c:v>Electrical</c:v>
                </c:pt>
                <c:pt idx="1">
                  <c:v>Mechanical</c:v>
                </c:pt>
                <c:pt idx="2">
                  <c:v>Packaging</c:v>
                </c:pt>
                <c:pt idx="3">
                  <c:v>Safety</c:v>
                </c:pt>
              </c:strCache>
            </c:strRef>
          </c:cat>
          <c:val>
            <c:numRef>
              <c:f>'Category vs Inv_value'!$B$4:$B$8</c:f>
              <c:numCache>
                <c:formatCode>_(* #,##0_);_(* \(#,##0\);_(* "-"??_);_(@_)</c:formatCode>
                <c:ptCount val="4"/>
                <c:pt idx="0">
                  <c:v>2067135</c:v>
                </c:pt>
                <c:pt idx="1">
                  <c:v>1761031</c:v>
                </c:pt>
                <c:pt idx="2">
                  <c:v>2098146</c:v>
                </c:pt>
                <c:pt idx="3">
                  <c:v>1220505</c:v>
                </c:pt>
              </c:numCache>
            </c:numRef>
          </c:val>
          <c:extLst>
            <c:ext xmlns:c16="http://schemas.microsoft.com/office/drawing/2014/chart" uri="{C3380CC4-5D6E-409C-BE32-E72D297353CC}">
              <c16:uniqueId val="{00000008-6E4C-4E87-9801-8CFB1BB7CF46}"/>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Item Value Category Analysis - </a:t>
            </a:r>
            <a:r>
              <a:rPr lang="en-US" sz="1200" b="1">
                <a:solidFill>
                  <a:sysClr val="windowText" lastClr="000000"/>
                </a:solidFill>
              </a:rPr>
              <a:t>High, Medium</a:t>
            </a:r>
            <a:r>
              <a:rPr lang="en-US" sz="1200" b="1" baseline="0">
                <a:solidFill>
                  <a:sysClr val="windowText" lastClr="000000"/>
                </a:solidFill>
              </a:rPr>
              <a:t>, Low</a:t>
            </a:r>
            <a:endParaRPr lang="en-US" sz="1200" b="1">
              <a:solidFill>
                <a:sysClr val="windowText" lastClr="000000"/>
              </a:solidFill>
            </a:endParaRPr>
          </a:p>
        </c:rich>
      </c:tx>
      <c:layout>
        <c:manualLayout>
          <c:xMode val="edge"/>
          <c:yMode val="edge"/>
          <c:x val="0.14424623325726166"/>
          <c:y val="3.94265232974910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Item_Value_Analysis!$F$4</c:f>
              <c:strCache>
                <c:ptCount val="1"/>
                <c:pt idx="0">
                  <c:v>No. of  individual items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07A-4F98-9FA7-63A895B29BE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07A-4F98-9FA7-63A895B29BE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07A-4F98-9FA7-63A895B29BE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07A-4F98-9FA7-63A895B29BE8}"/>
              </c:ext>
            </c:extLst>
          </c:dPt>
          <c:dLbls>
            <c:dLbl>
              <c:idx val="2"/>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332313318655075"/>
                      <c:h val="0.1200087704024712"/>
                    </c:manualLayout>
                  </c15:layout>
                </c:ext>
                <c:ext xmlns:c16="http://schemas.microsoft.com/office/drawing/2014/chart" uri="{C3380CC4-5D6E-409C-BE32-E72D297353CC}">
                  <c16:uniqueId val="{00000005-E07A-4F98-9FA7-63A895B29BE8}"/>
                </c:ext>
              </c:extLst>
            </c:dLbl>
            <c:dLbl>
              <c:idx val="3"/>
              <c:layout>
                <c:manualLayout>
                  <c:x val="7.8988941548183249E-3"/>
                  <c:y val="3.685503685503685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07A-4F98-9FA7-63A895B29BE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Item_Value_Analysis!$D$5:$E$8</c:f>
              <c:multiLvlStrCache>
                <c:ptCount val="4"/>
                <c:lvl>
                  <c:pt idx="0">
                    <c:v>401 above</c:v>
                  </c:pt>
                  <c:pt idx="1">
                    <c:v>251 - 400</c:v>
                  </c:pt>
                  <c:pt idx="2">
                    <c:v>101 - 250</c:v>
                  </c:pt>
                  <c:pt idx="3">
                    <c:v>1 - 100</c:v>
                  </c:pt>
                </c:lvl>
                <c:lvl>
                  <c:pt idx="0">
                    <c:v>High</c:v>
                  </c:pt>
                  <c:pt idx="1">
                    <c:v>Medium - Upper</c:v>
                  </c:pt>
                  <c:pt idx="2">
                    <c:v>Medium - Lower</c:v>
                  </c:pt>
                  <c:pt idx="3">
                    <c:v>Low</c:v>
                  </c:pt>
                </c:lvl>
              </c:multiLvlStrCache>
            </c:multiLvlStrRef>
          </c:cat>
          <c:val>
            <c:numRef>
              <c:f>Item_Value_Analysis!$F$5:$F$8</c:f>
              <c:numCache>
                <c:formatCode>General</c:formatCode>
                <c:ptCount val="4"/>
                <c:pt idx="0">
                  <c:v>7</c:v>
                </c:pt>
                <c:pt idx="1">
                  <c:v>14</c:v>
                </c:pt>
                <c:pt idx="2">
                  <c:v>14</c:v>
                </c:pt>
                <c:pt idx="3">
                  <c:v>4</c:v>
                </c:pt>
              </c:numCache>
            </c:numRef>
          </c:val>
          <c:extLst>
            <c:ext xmlns:c16="http://schemas.microsoft.com/office/drawing/2014/chart" uri="{C3380CC4-5D6E-409C-BE32-E72D297353CC}">
              <c16:uniqueId val="{00000008-E07A-4F98-9FA7-63A895B29BE8}"/>
            </c:ext>
          </c:extLst>
        </c:ser>
        <c:dLbls>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Re-order</a:t>
            </a:r>
            <a:r>
              <a:rPr lang="en-US" b="1" baseline="0"/>
              <a:t> Level Analysis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F8C-4712-81BE-13E044A23AD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F8C-4712-81BE-13E044A23AD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F8C-4712-81BE-13E044A23AD7}"/>
              </c:ext>
            </c:extLst>
          </c:dPt>
          <c:dLbls>
            <c:dLbl>
              <c:idx val="0"/>
              <c:delete val="1"/>
              <c:extLst>
                <c:ext xmlns:c15="http://schemas.microsoft.com/office/drawing/2012/chart" uri="{CE6537A1-D6FC-4f65-9D91-7224C49458BB}"/>
                <c:ext xmlns:c16="http://schemas.microsoft.com/office/drawing/2014/chart" uri="{C3380CC4-5D6E-409C-BE32-E72D297353CC}">
                  <c16:uniqueId val="{00000001-CF8C-4712-81BE-13E044A23AD7}"/>
                </c:ext>
              </c:extLst>
            </c:dLbl>
            <c:dLbl>
              <c:idx val="1"/>
              <c:tx>
                <c:rich>
                  <a:bodyPr/>
                  <a:lstStyle/>
                  <a:p>
                    <a:r>
                      <a:rPr lang="en-US" baseline="0"/>
                      <a:t>129
</a:t>
                    </a:r>
                    <a:fld id="{7CD8F525-3A70-4E8D-9064-795D73999D7B}" type="PERCENTAGE">
                      <a:rPr lang="en-US" baseline="0"/>
                      <a:pPr/>
                      <a:t>[PERCENTAGE]</a:t>
                    </a:fld>
                    <a:endParaRPr lang="en-US" baseline="0"/>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F8C-4712-81BE-13E044A23AD7}"/>
                </c:ext>
              </c:extLst>
            </c:dLbl>
            <c:dLbl>
              <c:idx val="2"/>
              <c:layout>
                <c:manualLayout>
                  <c:x val="-1.6666666666666614E-2"/>
                  <c:y val="3.2407407407407385E-2"/>
                </c:manualLayout>
              </c:layout>
              <c:tx>
                <c:rich>
                  <a:bodyPr/>
                  <a:lstStyle/>
                  <a:p>
                    <a:r>
                      <a:rPr lang="en-US" baseline="0"/>
                      <a:t>9
</a:t>
                    </a:r>
                    <a:fld id="{FD3F99B2-BB17-4CBA-8F7C-B6A750B928C2}"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CF8C-4712-81BE-13E044A23AD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val>
            <c:numRef>
              <c:f>'Re-order_Level_Analysis'!$I$4:$I$6</c:f>
              <c:numCache>
                <c:formatCode>General</c:formatCode>
                <c:ptCount val="3"/>
                <c:pt idx="0">
                  <c:v>0</c:v>
                </c:pt>
                <c:pt idx="1">
                  <c:v>129</c:v>
                </c:pt>
                <c:pt idx="2">
                  <c:v>9</c:v>
                </c:pt>
              </c:numCache>
            </c:numRef>
          </c:val>
          <c:extLst>
            <c:ext xmlns:c16="http://schemas.microsoft.com/office/drawing/2014/chart" uri="{C3380CC4-5D6E-409C-BE32-E72D297353CC}">
              <c16:uniqueId val="{00000006-CF8C-4712-81BE-13E044A23AD7}"/>
            </c:ext>
          </c:extLst>
        </c:ser>
        <c:ser>
          <c:idx val="1"/>
          <c:order val="1"/>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8-CF8C-4712-81BE-13E044A23AD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A-CF8C-4712-81BE-13E044A23AD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C-CF8C-4712-81BE-13E044A23AD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val>
            <c:numRef>
              <c:f>'Re-order_Level_Analysis'!$J$4:$J$6</c:f>
              <c:numCache>
                <c:formatCode>General</c:formatCode>
                <c:ptCount val="3"/>
              </c:numCache>
            </c:numRef>
          </c:val>
          <c:extLst>
            <c:ext xmlns:c16="http://schemas.microsoft.com/office/drawing/2014/chart" uri="{C3380CC4-5D6E-409C-BE32-E72D297353CC}">
              <c16:uniqueId val="{0000000D-CF8C-4712-81BE-13E044A23AD7}"/>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[Project-003-Warehouse-Inventory-Analysis.xlsx]Supplier Distribution!PivotTable1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Supplier Distribution</a:t>
            </a:r>
          </a:p>
        </c:rich>
      </c:tx>
      <c:layout>
        <c:manualLayout>
          <c:xMode val="edge"/>
          <c:yMode val="edge"/>
          <c:x val="0.36742071233393642"/>
          <c:y val="5.80204964006055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dLbl>
          <c:idx val="0"/>
          <c:layout>
            <c:manualLayout>
              <c:x val="-6.4184852374839733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6.4184852374839733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6.4184852374839733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'Supplier Distribution'!$B$3</c:f>
              <c:strCache>
                <c:ptCount val="1"/>
                <c:pt idx="0">
                  <c:v>Total</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0-8661-4E42-B348-C049244C48D3}"/>
              </c:ext>
            </c:extLst>
          </c:dPt>
          <c:dLbls>
            <c:dLbl>
              <c:idx val="0"/>
              <c:layout>
                <c:manualLayout>
                  <c:x val="-6.4184852374839733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661-4E42-B348-C049244C48D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'Supplier Distribution'!$A$4:$A$21</c:f>
              <c:multiLvlStrCache>
                <c:ptCount val="13"/>
                <c:lvl>
                  <c:pt idx="0">
                    <c:v>Packaging</c:v>
                  </c:pt>
                  <c:pt idx="1">
                    <c:v>Safety</c:v>
                  </c:pt>
                  <c:pt idx="2">
                    <c:v>Electrical</c:v>
                  </c:pt>
                  <c:pt idx="3">
                    <c:v>Mechanical</c:v>
                  </c:pt>
                  <c:pt idx="4">
                    <c:v>Packaging</c:v>
                  </c:pt>
                  <c:pt idx="5">
                    <c:v>Electrical</c:v>
                  </c:pt>
                  <c:pt idx="6">
                    <c:v>Mechanical</c:v>
                  </c:pt>
                  <c:pt idx="7">
                    <c:v>Packaging</c:v>
                  </c:pt>
                  <c:pt idx="8">
                    <c:v>Safety</c:v>
                  </c:pt>
                  <c:pt idx="9">
                    <c:v>Electrical</c:v>
                  </c:pt>
                  <c:pt idx="10">
                    <c:v>Mechanical</c:v>
                  </c:pt>
                  <c:pt idx="11">
                    <c:v>Packaging</c:v>
                  </c:pt>
                  <c:pt idx="12">
                    <c:v>Safety</c:v>
                  </c:pt>
                </c:lvl>
                <c:lvl>
                  <c:pt idx="0">
                    <c:v>Alpha</c:v>
                  </c:pt>
                  <c:pt idx="2">
                    <c:v>Bravo</c:v>
                  </c:pt>
                  <c:pt idx="5">
                    <c:v>Central</c:v>
                  </c:pt>
                  <c:pt idx="9">
                    <c:v>Delta</c:v>
                  </c:pt>
                </c:lvl>
              </c:multiLvlStrCache>
            </c:multiLvlStrRef>
          </c:cat>
          <c:val>
            <c:numRef>
              <c:f>'Supplier Distribution'!$B$4:$B$21</c:f>
              <c:numCache>
                <c:formatCode>_(* #,##0_);_(* \(#,##0\);_(* "-"??_);_(@_)</c:formatCode>
                <c:ptCount val="13"/>
                <c:pt idx="0">
                  <c:v>294529</c:v>
                </c:pt>
                <c:pt idx="1">
                  <c:v>312864</c:v>
                </c:pt>
                <c:pt idx="2">
                  <c:v>166056</c:v>
                </c:pt>
                <c:pt idx="3">
                  <c:v>385398</c:v>
                </c:pt>
                <c:pt idx="4">
                  <c:v>744673</c:v>
                </c:pt>
                <c:pt idx="5">
                  <c:v>1498663</c:v>
                </c:pt>
                <c:pt idx="6">
                  <c:v>1184389</c:v>
                </c:pt>
                <c:pt idx="7">
                  <c:v>218012</c:v>
                </c:pt>
                <c:pt idx="8">
                  <c:v>676506</c:v>
                </c:pt>
                <c:pt idx="9">
                  <c:v>402416</c:v>
                </c:pt>
                <c:pt idx="10">
                  <c:v>191244</c:v>
                </c:pt>
                <c:pt idx="11">
                  <c:v>840932</c:v>
                </c:pt>
                <c:pt idx="12">
                  <c:v>231135</c:v>
                </c:pt>
              </c:numCache>
            </c:numRef>
          </c:val>
          <c:extLst>
            <c:ext xmlns:c16="http://schemas.microsoft.com/office/drawing/2014/chart" uri="{C3380CC4-5D6E-409C-BE32-E72D297353CC}">
              <c16:uniqueId val="{00000001-8661-4E42-B348-C049244C48D3}"/>
            </c:ext>
          </c:extLst>
        </c:ser>
        <c:dLbls>
          <c:dLblPos val="outEnd"/>
          <c:showLegendKey val="0"/>
          <c:showVal val="1"/>
          <c:showCatName val="0"/>
          <c:showSerName val="0"/>
          <c:showPercent val="0"/>
          <c:showBubbleSize val="0"/>
        </c:dLbls>
        <c:gapWidth val="219"/>
        <c:overlap val="-27"/>
        <c:axId val="1786104672"/>
        <c:axId val="1786107072"/>
      </c:barChart>
      <c:catAx>
        <c:axId val="178610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786107072"/>
        <c:crosses val="autoZero"/>
        <c:auto val="1"/>
        <c:lblAlgn val="ctr"/>
        <c:lblOffset val="100"/>
        <c:noMultiLvlLbl val="0"/>
      </c:catAx>
      <c:valAx>
        <c:axId val="178610707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786104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[Project-003-Warehouse-Inventory-Analysis.xlsx]Inventory_ Criticality!PivotTable5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rPr>
              <a:t>Inventory Criticality Analysis</a:t>
            </a:r>
          </a:p>
        </c:rich>
      </c:tx>
      <c:layout>
        <c:manualLayout>
          <c:xMode val="edge"/>
          <c:yMode val="edge"/>
          <c:x val="0.2328611111111111"/>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dLbl>
          <c:idx val="0"/>
          <c:layout>
            <c:manualLayout>
              <c:x val="-2.7777777777777779E-3"/>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dLbl>
          <c:idx val="0"/>
          <c:layout>
            <c:manualLayout>
              <c:x val="-2.7777777777777779E-3"/>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dLbl>
          <c:idx val="0"/>
          <c:layout>
            <c:manualLayout>
              <c:x val="-2.7777777777777779E-3"/>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'Inventory_ Criticality'!$B$3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A1D-4BBD-A5C3-201E5787E57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A1D-4BBD-A5C3-201E5787E57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A1D-4BBD-A5C3-201E5787E578}"/>
              </c:ext>
            </c:extLst>
          </c:dPt>
          <c:dLbls>
            <c:dLbl>
              <c:idx val="1"/>
              <c:layout>
                <c:manualLayout>
                  <c:x val="-2.7777777777777779E-3"/>
                  <c:y val="-5.092592592592592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A1D-4BBD-A5C3-201E5787E57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'Inventory_ Criticality'!$A$4:$A$7</c:f>
              <c:strCache>
                <c:ptCount val="3"/>
                <c:pt idx="0">
                  <c:v>High</c:v>
                </c:pt>
                <c:pt idx="1">
                  <c:v>Low</c:v>
                </c:pt>
                <c:pt idx="2">
                  <c:v>Medium</c:v>
                </c:pt>
              </c:strCache>
            </c:strRef>
          </c:cat>
          <c:val>
            <c:numRef>
              <c:f>'Inventory_ Criticality'!$B$4:$B$7</c:f>
              <c:numCache>
                <c:formatCode>General</c:formatCode>
                <c:ptCount val="3"/>
                <c:pt idx="0">
                  <c:v>70</c:v>
                </c:pt>
                <c:pt idx="1">
                  <c:v>75</c:v>
                </c:pt>
                <c:pt idx="2">
                  <c:v>55</c:v>
                </c:pt>
              </c:numCache>
            </c:numRef>
          </c:val>
          <c:extLst>
            <c:ext xmlns:c16="http://schemas.microsoft.com/office/drawing/2014/chart" uri="{C3380CC4-5D6E-409C-BE32-E72D297353CC}">
              <c16:uniqueId val="{00000006-9A1D-4BBD-A5C3-201E5787E578}"/>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Lead-time Risk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'Lead-time Risk Analysis'!$G$4</c:f>
              <c:strCache>
                <c:ptCount val="1"/>
                <c:pt idx="0">
                  <c:v>01 - 10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'Lead-time Risk Analysis'!$H$3:$J$3</c:f>
              <c:strCache>
                <c:ptCount val="3"/>
                <c:pt idx="0">
                  <c:v>No. of "Criticality - High"</c:v>
                </c:pt>
                <c:pt idx="1">
                  <c:v>No. of "Criticality - Low"</c:v>
                </c:pt>
                <c:pt idx="2">
                  <c:v>No. of "Criticality - Medium"</c:v>
                </c:pt>
              </c:strCache>
            </c:strRef>
          </c:cat>
          <c:val>
            <c:numRef>
              <c:f>'Lead-time Risk Analysis'!$H$4:$J$4</c:f>
              <c:numCache>
                <c:formatCode>General</c:formatCode>
                <c:ptCount val="3"/>
                <c:pt idx="0">
                  <c:v>2</c:v>
                </c:pt>
                <c:pt idx="1">
                  <c:v>6</c:v>
                </c:pt>
                <c:pt idx="2">
                  <c:v>4</c:v>
                </c:pt>
              </c:numCache>
            </c:numRef>
          </c:val>
          <c:extLst>
            <c:ext xmlns:c16="http://schemas.microsoft.com/office/drawing/2014/chart" uri="{C3380CC4-5D6E-409C-BE32-E72D297353CC}">
              <c16:uniqueId val="{00000000-6BDD-4C15-8CFB-073F60467B25}"/>
            </c:ext>
          </c:extLst>
        </c:ser>
        <c:ser>
          <c:idx val="1"/>
          <c:order val="1"/>
          <c:tx>
            <c:strRef>
              <c:f>'Lead-time Risk Analysis'!$G$5</c:f>
              <c:strCache>
                <c:ptCount val="1"/>
                <c:pt idx="0">
                  <c:v>11 - 20</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'Lead-time Risk Analysis'!$H$3:$J$3</c:f>
              <c:strCache>
                <c:ptCount val="3"/>
                <c:pt idx="0">
                  <c:v>No. of "Criticality - High"</c:v>
                </c:pt>
                <c:pt idx="1">
                  <c:v>No. of "Criticality - Low"</c:v>
                </c:pt>
                <c:pt idx="2">
                  <c:v>No. of "Criticality - Medium"</c:v>
                </c:pt>
              </c:strCache>
            </c:strRef>
          </c:cat>
          <c:val>
            <c:numRef>
              <c:f>'Lead-time Risk Analysis'!$H$5:$J$5</c:f>
              <c:numCache>
                <c:formatCode>General</c:formatCode>
                <c:ptCount val="3"/>
                <c:pt idx="0">
                  <c:v>6</c:v>
                </c:pt>
                <c:pt idx="1">
                  <c:v>3</c:v>
                </c:pt>
                <c:pt idx="2">
                  <c:v>5</c:v>
                </c:pt>
              </c:numCache>
            </c:numRef>
          </c:val>
          <c:extLst>
            <c:ext xmlns:c16="http://schemas.microsoft.com/office/drawing/2014/chart" uri="{C3380CC4-5D6E-409C-BE32-E72D297353CC}">
              <c16:uniqueId val="{00000001-6BDD-4C15-8CFB-073F60467B25}"/>
            </c:ext>
          </c:extLst>
        </c:ser>
        <c:ser>
          <c:idx val="2"/>
          <c:order val="2"/>
          <c:tx>
            <c:strRef>
              <c:f>'Lead-time Risk Analysis'!$G$6</c:f>
              <c:strCache>
                <c:ptCount val="1"/>
                <c:pt idx="0">
                  <c:v>21 - 30</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'Lead-time Risk Analysis'!$H$3:$J$3</c:f>
              <c:strCache>
                <c:ptCount val="3"/>
                <c:pt idx="0">
                  <c:v>No. of "Criticality - High"</c:v>
                </c:pt>
                <c:pt idx="1">
                  <c:v>No. of "Criticality - Low"</c:v>
                </c:pt>
                <c:pt idx="2">
                  <c:v>No. of "Criticality - Medium"</c:v>
                </c:pt>
              </c:strCache>
            </c:strRef>
          </c:cat>
          <c:val>
            <c:numRef>
              <c:f>'Lead-time Risk Analysis'!$H$6:$J$6</c:f>
              <c:numCache>
                <c:formatCode>General</c:formatCode>
                <c:ptCount val="3"/>
                <c:pt idx="0">
                  <c:v>6</c:v>
                </c:pt>
                <c:pt idx="1">
                  <c:v>6</c:v>
                </c:pt>
                <c:pt idx="2">
                  <c:v>1</c:v>
                </c:pt>
              </c:numCache>
            </c:numRef>
          </c:val>
          <c:extLst>
            <c:ext xmlns:c16="http://schemas.microsoft.com/office/drawing/2014/chart" uri="{C3380CC4-5D6E-409C-BE32-E72D297353CC}">
              <c16:uniqueId val="{00000002-6BDD-4C15-8CFB-073F60467B25}"/>
            </c:ext>
          </c:extLst>
        </c:ser>
        <c:dLbls>
          <c:dLblPos val="outEnd"/>
          <c:showLegendKey val="0"/>
          <c:showVal val="1"/>
          <c:showCatName val="0"/>
          <c:showSerName val="0"/>
          <c:showPercent val="0"/>
          <c:showBubbleSize val="0"/>
        </c:dLbls>
        <c:gapWidth val="219"/>
        <c:overlap val="-27"/>
        <c:axId val="1960948320"/>
        <c:axId val="1960954080"/>
      </c:barChart>
      <c:catAx>
        <c:axId val="196094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60954080"/>
        <c:crosses val="autoZero"/>
        <c:auto val="1"/>
        <c:lblAlgn val="ctr"/>
        <c:lblOffset val="100"/>
        <c:noMultiLvlLbl val="0"/>
      </c:catAx>
      <c:valAx>
        <c:axId val="1960954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948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[Project-003-Warehouse-Inventory-Analysis.xlsx]WH vs Inv_value!PivotTable2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Warehouse vs Inventory Value</a:t>
            </a:r>
          </a:p>
        </c:rich>
      </c:tx>
      <c:layout>
        <c:manualLayout>
          <c:xMode val="edge"/>
          <c:yMode val="edge"/>
          <c:x val="0.28403455818022749"/>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'WH vs Inv_value'!$B$3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881-45B7-B716-12DD9350D7A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881-45B7-B716-12DD9350D7A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881-45B7-B716-12DD9350D7A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'WH vs Inv_value'!$A$4:$A$7</c:f>
              <c:strCache>
                <c:ptCount val="3"/>
                <c:pt idx="0">
                  <c:v>WH-A</c:v>
                </c:pt>
                <c:pt idx="1">
                  <c:v>WH-B</c:v>
                </c:pt>
                <c:pt idx="2">
                  <c:v>WH-C</c:v>
                </c:pt>
              </c:strCache>
            </c:strRef>
          </c:cat>
          <c:val>
            <c:numRef>
              <c:f>'WH vs Inv_value'!$B$4:$B$7</c:f>
              <c:numCache>
                <c:formatCode>_(* #,##0_);_(* \(#,##0\);_(* "-"??_);_(@_)</c:formatCode>
                <c:ptCount val="3"/>
                <c:pt idx="0">
                  <c:v>2546136</c:v>
                </c:pt>
                <c:pt idx="1">
                  <c:v>2498849</c:v>
                </c:pt>
                <c:pt idx="2">
                  <c:v>2101832</c:v>
                </c:pt>
              </c:numCache>
            </c:numRef>
          </c:val>
          <c:extLst>
            <c:ext xmlns:c16="http://schemas.microsoft.com/office/drawing/2014/chart" uri="{C3380CC4-5D6E-409C-BE32-E72D297353CC}">
              <c16:uniqueId val="{00000006-C881-45B7-B716-12DD9350D7A9}"/>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22860</xdr:colOff>
      <xdr:row>1</xdr:row>
      <xdr:rowOff>167640</xdr:rowOff>
    </xdr:from>
    <xdr:to>
      <xdr:col>10</xdr:col>
      <xdr:colOff>327660</xdr:colOff>
      <xdr:row>16</xdr:row>
      <xdr:rowOff>167640</xdr:rowOff>
    </xdr:to>
    <xdr:graphicFrame macro="">
      <xdr:nvGraphicFramePr>
        <xdr:cNvPr id="3" name="Chart 2">
          <a:extLst>
            <a:ext uri="{FF2B5EF4-FFF2-40B4-BE49-F238E27FC236}">
              <a16:creationId xmlns:a16="http://schemas.microsoft.com/office/drawing/2014/main" id="{24E67A4E-8DFC-59C1-D371-254841CFE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0</xdr:row>
      <xdr:rowOff>175260</xdr:rowOff>
    </xdr:from>
    <xdr:to>
      <xdr:col>10</xdr:col>
      <xdr:colOff>304800</xdr:colOff>
      <xdr:row>15</xdr:row>
      <xdr:rowOff>175260</xdr:rowOff>
    </xdr:to>
    <xdr:graphicFrame macro="">
      <xdr:nvGraphicFramePr>
        <xdr:cNvPr id="2" name="Chart 1">
          <a:extLst>
            <a:ext uri="{FF2B5EF4-FFF2-40B4-BE49-F238E27FC236}">
              <a16:creationId xmlns:a16="http://schemas.microsoft.com/office/drawing/2014/main" id="{E62E420A-E863-1B95-090B-EF76430555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327660</xdr:colOff>
      <xdr:row>2</xdr:row>
      <xdr:rowOff>0</xdr:rowOff>
    </xdr:from>
    <xdr:to>
      <xdr:col>14</xdr:col>
      <xdr:colOff>472440</xdr:colOff>
      <xdr:row>20</xdr:row>
      <xdr:rowOff>175260</xdr:rowOff>
    </xdr:to>
    <xdr:graphicFrame macro="">
      <xdr:nvGraphicFramePr>
        <xdr:cNvPr id="2" name="Chart 1">
          <a:extLst>
            <a:ext uri="{FF2B5EF4-FFF2-40B4-BE49-F238E27FC236}">
              <a16:creationId xmlns:a16="http://schemas.microsoft.com/office/drawing/2014/main" id="{6520BFF0-C603-2E1D-B0AD-CE598FAF58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594360</xdr:colOff>
      <xdr:row>6</xdr:row>
      <xdr:rowOff>175260</xdr:rowOff>
    </xdr:from>
    <xdr:to>
      <xdr:col>12</xdr:col>
      <xdr:colOff>137160</xdr:colOff>
      <xdr:row>21</xdr:row>
      <xdr:rowOff>175260</xdr:rowOff>
    </xdr:to>
    <xdr:graphicFrame macro="">
      <xdr:nvGraphicFramePr>
        <xdr:cNvPr id="7" name="Chart 6">
          <a:extLst>
            <a:ext uri="{FF2B5EF4-FFF2-40B4-BE49-F238E27FC236}">
              <a16:creationId xmlns:a16="http://schemas.microsoft.com/office/drawing/2014/main" id="{BA923FEA-EF44-B929-31DC-1B6D3C4E9D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0</xdr:row>
      <xdr:rowOff>175260</xdr:rowOff>
    </xdr:from>
    <xdr:to>
      <xdr:col>15</xdr:col>
      <xdr:colOff>53340</xdr:colOff>
      <xdr:row>21</xdr:row>
      <xdr:rowOff>7620</xdr:rowOff>
    </xdr:to>
    <xdr:graphicFrame macro="">
      <xdr:nvGraphicFramePr>
        <xdr:cNvPr id="2" name="Chart 1">
          <a:extLst>
            <a:ext uri="{FF2B5EF4-FFF2-40B4-BE49-F238E27FC236}">
              <a16:creationId xmlns:a16="http://schemas.microsoft.com/office/drawing/2014/main" id="{40346C24-62CD-F275-7F2A-B2CB4D10BD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548640</xdr:colOff>
      <xdr:row>0</xdr:row>
      <xdr:rowOff>175260</xdr:rowOff>
    </xdr:from>
    <xdr:to>
      <xdr:col>11</xdr:col>
      <xdr:colOff>518160</xdr:colOff>
      <xdr:row>17</xdr:row>
      <xdr:rowOff>60960</xdr:rowOff>
    </xdr:to>
    <xdr:graphicFrame macro="">
      <xdr:nvGraphicFramePr>
        <xdr:cNvPr id="3" name="Chart 2">
          <a:extLst>
            <a:ext uri="{FF2B5EF4-FFF2-40B4-BE49-F238E27FC236}">
              <a16:creationId xmlns:a16="http://schemas.microsoft.com/office/drawing/2014/main" id="{C0F92569-492A-F9C6-363B-AA72B96B93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1059180</xdr:colOff>
      <xdr:row>10</xdr:row>
      <xdr:rowOff>175260</xdr:rowOff>
    </xdr:from>
    <xdr:to>
      <xdr:col>10</xdr:col>
      <xdr:colOff>60960</xdr:colOff>
      <xdr:row>25</xdr:row>
      <xdr:rowOff>0</xdr:rowOff>
    </xdr:to>
    <xdr:graphicFrame macro="">
      <xdr:nvGraphicFramePr>
        <xdr:cNvPr id="3" name="Chart 2">
          <a:extLst>
            <a:ext uri="{FF2B5EF4-FFF2-40B4-BE49-F238E27FC236}">
              <a16:creationId xmlns:a16="http://schemas.microsoft.com/office/drawing/2014/main" id="{DE2CB3A9-04DC-0726-7549-FABC19F42F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26</xdr:col>
      <xdr:colOff>0</xdr:colOff>
      <xdr:row>6</xdr:row>
      <xdr:rowOff>0</xdr:rowOff>
    </xdr:from>
    <xdr:to>
      <xdr:col>33</xdr:col>
      <xdr:colOff>288636</xdr:colOff>
      <xdr:row>20</xdr:row>
      <xdr:rowOff>157018</xdr:rowOff>
    </xdr:to>
    <xdr:graphicFrame macro="">
      <xdr:nvGraphicFramePr>
        <xdr:cNvPr id="5" name="Chart 4">
          <a:extLst>
            <a:ext uri="{FF2B5EF4-FFF2-40B4-BE49-F238E27FC236}">
              <a16:creationId xmlns:a16="http://schemas.microsoft.com/office/drawing/2014/main" id="{39C033D2-90A2-474A-9A4B-0B4A195FA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0</xdr:colOff>
      <xdr:row>23</xdr:row>
      <xdr:rowOff>0</xdr:rowOff>
    </xdr:from>
    <xdr:to>
      <xdr:col>25</xdr:col>
      <xdr:colOff>196273</xdr:colOff>
      <xdr:row>41</xdr:row>
      <xdr:rowOff>138546</xdr:rowOff>
    </xdr:to>
    <xdr:graphicFrame macro="">
      <xdr:nvGraphicFramePr>
        <xdr:cNvPr id="7" name="Chart 6">
          <a:extLst>
            <a:ext uri="{FF2B5EF4-FFF2-40B4-BE49-F238E27FC236}">
              <a16:creationId xmlns:a16="http://schemas.microsoft.com/office/drawing/2014/main" id="{02EFACBD-4A97-402F-9061-6FF21C4E6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23</xdr:row>
      <xdr:rowOff>0</xdr:rowOff>
    </xdr:from>
    <xdr:to>
      <xdr:col>33</xdr:col>
      <xdr:colOff>288636</xdr:colOff>
      <xdr:row>37</xdr:row>
      <xdr:rowOff>157018</xdr:rowOff>
    </xdr:to>
    <xdr:graphicFrame macro="">
      <xdr:nvGraphicFramePr>
        <xdr:cNvPr id="11" name="Chart 10">
          <a:extLst>
            <a:ext uri="{FF2B5EF4-FFF2-40B4-BE49-F238E27FC236}">
              <a16:creationId xmlns:a16="http://schemas.microsoft.com/office/drawing/2014/main" id="{3FDD5467-4B2F-4BA1-8EDA-07998306EB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xdr:colOff>
      <xdr:row>44</xdr:row>
      <xdr:rowOff>0</xdr:rowOff>
    </xdr:from>
    <xdr:to>
      <xdr:col>29</xdr:col>
      <xdr:colOff>46181</xdr:colOff>
      <xdr:row>65</xdr:row>
      <xdr:rowOff>173181</xdr:rowOff>
    </xdr:to>
    <xdr:graphicFrame macro="">
      <xdr:nvGraphicFramePr>
        <xdr:cNvPr id="13" name="Chart 12">
          <a:extLst>
            <a:ext uri="{FF2B5EF4-FFF2-40B4-BE49-F238E27FC236}">
              <a16:creationId xmlns:a16="http://schemas.microsoft.com/office/drawing/2014/main" id="{168F9890-A3C1-4D8B-9499-1093A6A172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0</xdr:colOff>
      <xdr:row>68</xdr:row>
      <xdr:rowOff>0</xdr:rowOff>
    </xdr:from>
    <xdr:to>
      <xdr:col>26</xdr:col>
      <xdr:colOff>0</xdr:colOff>
      <xdr:row>84</xdr:row>
      <xdr:rowOff>11545</xdr:rowOff>
    </xdr:to>
    <xdr:graphicFrame macro="">
      <xdr:nvGraphicFramePr>
        <xdr:cNvPr id="15" name="Chart 14">
          <a:extLst>
            <a:ext uri="{FF2B5EF4-FFF2-40B4-BE49-F238E27FC236}">
              <a16:creationId xmlns:a16="http://schemas.microsoft.com/office/drawing/2014/main" id="{AFD8B44B-989F-45E7-AC88-19452BA9E1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0</xdr:colOff>
      <xdr:row>86</xdr:row>
      <xdr:rowOff>0</xdr:rowOff>
    </xdr:from>
    <xdr:to>
      <xdr:col>28</xdr:col>
      <xdr:colOff>349366</xdr:colOff>
      <xdr:row>101</xdr:row>
      <xdr:rowOff>155171</xdr:rowOff>
    </xdr:to>
    <xdr:graphicFrame macro="">
      <xdr:nvGraphicFramePr>
        <xdr:cNvPr id="17" name="Chart 16">
          <a:extLst>
            <a:ext uri="{FF2B5EF4-FFF2-40B4-BE49-F238E27FC236}">
              <a16:creationId xmlns:a16="http://schemas.microsoft.com/office/drawing/2014/main" id="{955A67AA-99CE-4A70-B709-C039A9CC3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0</xdr:colOff>
      <xdr:row>6</xdr:row>
      <xdr:rowOff>0</xdr:rowOff>
    </xdr:from>
    <xdr:to>
      <xdr:col>25</xdr:col>
      <xdr:colOff>229518</xdr:colOff>
      <xdr:row>20</xdr:row>
      <xdr:rowOff>172597</xdr:rowOff>
    </xdr:to>
    <xdr:graphicFrame macro="">
      <xdr:nvGraphicFramePr>
        <xdr:cNvPr id="21" name="Chart 20">
          <a:extLst>
            <a:ext uri="{FF2B5EF4-FFF2-40B4-BE49-F238E27FC236}">
              <a16:creationId xmlns:a16="http://schemas.microsoft.com/office/drawing/2014/main" id="{7A8E34C3-773F-4D85-B28F-79B410ECD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481186</xdr:colOff>
      <xdr:row>13</xdr:row>
      <xdr:rowOff>1193</xdr:rowOff>
    </xdr:from>
    <xdr:to>
      <xdr:col>12</xdr:col>
      <xdr:colOff>370064</xdr:colOff>
      <xdr:row>33</xdr:row>
      <xdr:rowOff>179035</xdr:rowOff>
    </xdr:to>
    <xdr:pic>
      <xdr:nvPicPr>
        <xdr:cNvPr id="3" name="Picture 2">
          <a:extLst>
            <a:ext uri="{FF2B5EF4-FFF2-40B4-BE49-F238E27FC236}">
              <a16:creationId xmlns:a16="http://schemas.microsoft.com/office/drawing/2014/main" id="{C656BC8D-2825-6101-1EF7-90A415B0CBF6}"/>
            </a:ext>
          </a:extLst>
        </xdr:cNvPr>
        <xdr:cNvPicPr>
          <a:picLocks noChangeAspect="1"/>
        </xdr:cNvPicPr>
      </xdr:nvPicPr>
      <xdr:blipFill>
        <a:blip xmlns:r="http://schemas.openxmlformats.org/officeDocument/2006/relationships" r:embed="rId1"/>
        <a:stretch>
          <a:fillRect/>
        </a:stretch>
      </xdr:blipFill>
      <xdr:spPr>
        <a:xfrm>
          <a:off x="3529186" y="2980613"/>
          <a:ext cx="4156078" cy="4338362"/>
        </a:xfrm>
        <a:prstGeom prst="rect">
          <a:avLst/>
        </a:prstGeom>
      </xdr:spPr>
    </xdr:pic>
    <xdr:clientData/>
  </xdr:twoCellAnchor>
  <xdr:twoCellAnchor editAs="oneCell">
    <xdr:from>
      <xdr:col>0</xdr:col>
      <xdr:colOff>579867</xdr:colOff>
      <xdr:row>50</xdr:row>
      <xdr:rowOff>6737</xdr:rowOff>
    </xdr:from>
    <xdr:to>
      <xdr:col>13</xdr:col>
      <xdr:colOff>437572</xdr:colOff>
      <xdr:row>69</xdr:row>
      <xdr:rowOff>73170</xdr:rowOff>
    </xdr:to>
    <xdr:pic>
      <xdr:nvPicPr>
        <xdr:cNvPr id="4" name="Picture 3">
          <a:extLst>
            <a:ext uri="{FF2B5EF4-FFF2-40B4-BE49-F238E27FC236}">
              <a16:creationId xmlns:a16="http://schemas.microsoft.com/office/drawing/2014/main" id="{AF5AC3C2-8963-5A79-8346-86F03E1CD85C}"/>
            </a:ext>
          </a:extLst>
        </xdr:cNvPr>
        <xdr:cNvPicPr>
          <a:picLocks noChangeAspect="1"/>
        </xdr:cNvPicPr>
      </xdr:nvPicPr>
      <xdr:blipFill>
        <a:blip xmlns:r="http://schemas.openxmlformats.org/officeDocument/2006/relationships" r:embed="rId2"/>
        <a:stretch>
          <a:fillRect/>
        </a:stretch>
      </xdr:blipFill>
      <xdr:spPr>
        <a:xfrm>
          <a:off x="579867" y="10613777"/>
          <a:ext cx="7782505" cy="3541153"/>
        </a:xfrm>
        <a:prstGeom prst="rect">
          <a:avLst/>
        </a:prstGeom>
      </xdr:spPr>
    </xdr:pic>
    <xdr:clientData/>
  </xdr:twoCellAnchor>
  <xdr:twoCellAnchor editAs="oneCell">
    <xdr:from>
      <xdr:col>12</xdr:col>
      <xdr:colOff>264687</xdr:colOff>
      <xdr:row>25</xdr:row>
      <xdr:rowOff>191570</xdr:rowOff>
    </xdr:from>
    <xdr:to>
      <xdr:col>22</xdr:col>
      <xdr:colOff>603289</xdr:colOff>
      <xdr:row>42</xdr:row>
      <xdr:rowOff>165291</xdr:rowOff>
    </xdr:to>
    <xdr:pic>
      <xdr:nvPicPr>
        <xdr:cNvPr id="5" name="Picture 4">
          <a:extLst>
            <a:ext uri="{FF2B5EF4-FFF2-40B4-BE49-F238E27FC236}">
              <a16:creationId xmlns:a16="http://schemas.microsoft.com/office/drawing/2014/main" id="{BDD145E0-2EB6-5FF5-6C29-ACBB62104792}"/>
            </a:ext>
          </a:extLst>
        </xdr:cNvPr>
        <xdr:cNvPicPr>
          <a:picLocks noChangeAspect="1"/>
        </xdr:cNvPicPr>
      </xdr:nvPicPr>
      <xdr:blipFill>
        <a:blip xmlns:r="http://schemas.openxmlformats.org/officeDocument/2006/relationships" r:embed="rId3"/>
        <a:stretch>
          <a:fillRect/>
        </a:stretch>
      </xdr:blipFill>
      <xdr:spPr>
        <a:xfrm>
          <a:off x="7579887" y="5647490"/>
          <a:ext cx="6434602" cy="34408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tem%20Master"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sheetName val="Item Master"/>
    </sheetNames>
    <sheetDataSet>
      <sheetData sheetId="0" refreshError="1">
        <row r="1">
          <cell r="A1" t="str">
            <v>Item Code</v>
          </cell>
          <cell r="B1" t="str">
            <v>Item Description</v>
          </cell>
          <cell r="C1" t="str">
            <v>Category</v>
          </cell>
          <cell r="D1" t="str">
            <v>Unit Cost</v>
          </cell>
          <cell r="E1" t="str">
            <v>Preferred Supplier</v>
          </cell>
          <cell r="F1" t="str">
            <v>Lead Time (Days)</v>
          </cell>
          <cell r="G1" t="str">
            <v>Criticality</v>
          </cell>
        </row>
        <row r="2">
          <cell r="A2" t="str">
            <v>ITM1001</v>
          </cell>
          <cell r="B2" t="str">
            <v>Component 1</v>
          </cell>
          <cell r="C2" t="str">
            <v>Safety</v>
          </cell>
          <cell r="D2">
            <v>375</v>
          </cell>
          <cell r="E2" t="str">
            <v>Alpha</v>
          </cell>
          <cell r="F2">
            <v>19</v>
          </cell>
          <cell r="G2" t="str">
            <v>Low</v>
          </cell>
        </row>
        <row r="3">
          <cell r="A3" t="str">
            <v>ITM1002</v>
          </cell>
          <cell r="B3" t="str">
            <v>Component 2</v>
          </cell>
          <cell r="C3" t="str">
            <v>Packaging</v>
          </cell>
          <cell r="D3">
            <v>109</v>
          </cell>
          <cell r="E3" t="str">
            <v>Alpha</v>
          </cell>
          <cell r="F3">
            <v>10</v>
          </cell>
          <cell r="G3" t="str">
            <v>Medium</v>
          </cell>
        </row>
        <row r="4">
          <cell r="A4" t="str">
            <v>ITM1003</v>
          </cell>
          <cell r="B4" t="str">
            <v>Component 3</v>
          </cell>
          <cell r="C4" t="str">
            <v>Electrical</v>
          </cell>
          <cell r="D4">
            <v>246</v>
          </cell>
          <cell r="E4" t="str">
            <v>Delta</v>
          </cell>
          <cell r="F4">
            <v>30</v>
          </cell>
          <cell r="G4" t="str">
            <v>High</v>
          </cell>
        </row>
        <row r="5">
          <cell r="A5" t="str">
            <v>ITM1004</v>
          </cell>
          <cell r="B5" t="str">
            <v>Component 4</v>
          </cell>
          <cell r="C5" t="str">
            <v>Mechanical</v>
          </cell>
          <cell r="D5">
            <v>165</v>
          </cell>
          <cell r="E5" t="str">
            <v>Central</v>
          </cell>
          <cell r="F5">
            <v>21</v>
          </cell>
          <cell r="G5" t="str">
            <v>High</v>
          </cell>
        </row>
        <row r="6">
          <cell r="A6" t="str">
            <v>ITM1005</v>
          </cell>
          <cell r="B6" t="str">
            <v>Component 5</v>
          </cell>
          <cell r="C6" t="str">
            <v>Mechanical</v>
          </cell>
          <cell r="D6">
            <v>476</v>
          </cell>
          <cell r="E6" t="str">
            <v>Delta</v>
          </cell>
          <cell r="F6">
            <v>12</v>
          </cell>
          <cell r="G6" t="str">
            <v>Low</v>
          </cell>
        </row>
        <row r="7">
          <cell r="A7" t="str">
            <v>ITM1006</v>
          </cell>
          <cell r="B7" t="str">
            <v>Component 6</v>
          </cell>
          <cell r="C7" t="str">
            <v>Electrical</v>
          </cell>
          <cell r="D7">
            <v>156</v>
          </cell>
          <cell r="E7" t="str">
            <v>Central</v>
          </cell>
          <cell r="F7">
            <v>8</v>
          </cell>
          <cell r="G7" t="str">
            <v>High</v>
          </cell>
        </row>
        <row r="8">
          <cell r="A8" t="str">
            <v>ITM1007</v>
          </cell>
          <cell r="B8" t="str">
            <v>Component 7</v>
          </cell>
          <cell r="C8" t="str">
            <v>Electrical</v>
          </cell>
          <cell r="D8">
            <v>374</v>
          </cell>
          <cell r="E8" t="str">
            <v>Bravo</v>
          </cell>
          <cell r="F8">
            <v>5</v>
          </cell>
          <cell r="G8" t="str">
            <v>Low</v>
          </cell>
        </row>
        <row r="9">
          <cell r="A9" t="str">
            <v>ITM1008</v>
          </cell>
          <cell r="B9" t="str">
            <v>Component 8</v>
          </cell>
          <cell r="C9" t="str">
            <v>Electrical</v>
          </cell>
          <cell r="D9">
            <v>245</v>
          </cell>
          <cell r="E9" t="str">
            <v>Delta</v>
          </cell>
          <cell r="F9">
            <v>5</v>
          </cell>
          <cell r="G9" t="str">
            <v>Low</v>
          </cell>
        </row>
        <row r="10">
          <cell r="A10" t="str">
            <v>ITM1009</v>
          </cell>
          <cell r="B10" t="str">
            <v>Component 9</v>
          </cell>
          <cell r="C10" t="str">
            <v>Mechanical</v>
          </cell>
          <cell r="D10">
            <v>209</v>
          </cell>
          <cell r="E10" t="str">
            <v>Bravo</v>
          </cell>
          <cell r="F10">
            <v>10</v>
          </cell>
          <cell r="G10" t="str">
            <v>Low</v>
          </cell>
        </row>
        <row r="11">
          <cell r="A11" t="str">
            <v>ITM1010</v>
          </cell>
          <cell r="B11" t="str">
            <v>Component 10</v>
          </cell>
          <cell r="C11" t="str">
            <v>Packaging</v>
          </cell>
          <cell r="D11">
            <v>90</v>
          </cell>
          <cell r="E11" t="str">
            <v>Central</v>
          </cell>
          <cell r="F11">
            <v>7</v>
          </cell>
          <cell r="G11" t="str">
            <v>Medium</v>
          </cell>
        </row>
        <row r="12">
          <cell r="A12" t="str">
            <v>ITM1011</v>
          </cell>
          <cell r="B12" t="str">
            <v>Component 11</v>
          </cell>
          <cell r="C12" t="str">
            <v>Electrical</v>
          </cell>
          <cell r="D12">
            <v>386</v>
          </cell>
          <cell r="E12" t="str">
            <v>Central</v>
          </cell>
          <cell r="F12">
            <v>19</v>
          </cell>
          <cell r="G12" t="str">
            <v>High</v>
          </cell>
        </row>
        <row r="13">
          <cell r="A13" t="str">
            <v>ITM1012</v>
          </cell>
          <cell r="B13" t="str">
            <v>Component 12</v>
          </cell>
          <cell r="C13" t="str">
            <v>Packaging</v>
          </cell>
          <cell r="D13">
            <v>365</v>
          </cell>
          <cell r="E13" t="str">
            <v>Delta</v>
          </cell>
          <cell r="F13">
            <v>6</v>
          </cell>
          <cell r="G13" t="str">
            <v>Low</v>
          </cell>
        </row>
        <row r="14">
          <cell r="A14" t="str">
            <v>ITM1013</v>
          </cell>
          <cell r="B14" t="str">
            <v>Component 13</v>
          </cell>
          <cell r="C14" t="str">
            <v>Packaging</v>
          </cell>
          <cell r="D14">
            <v>494</v>
          </cell>
          <cell r="E14" t="str">
            <v>Bravo</v>
          </cell>
          <cell r="F14">
            <v>27</v>
          </cell>
          <cell r="G14" t="str">
            <v>Low</v>
          </cell>
        </row>
        <row r="15">
          <cell r="A15" t="str">
            <v>ITM1014</v>
          </cell>
          <cell r="B15" t="str">
            <v>Component 14</v>
          </cell>
          <cell r="C15" t="str">
            <v>Mechanical</v>
          </cell>
          <cell r="D15">
            <v>270</v>
          </cell>
          <cell r="E15" t="str">
            <v>Central</v>
          </cell>
          <cell r="F15">
            <v>4</v>
          </cell>
          <cell r="G15" t="str">
            <v>Medium</v>
          </cell>
        </row>
        <row r="16">
          <cell r="A16" t="str">
            <v>ITM1015</v>
          </cell>
          <cell r="B16" t="str">
            <v>Component 15</v>
          </cell>
          <cell r="C16" t="str">
            <v>Electrical</v>
          </cell>
          <cell r="D16">
            <v>406</v>
          </cell>
          <cell r="E16" t="str">
            <v>Central</v>
          </cell>
          <cell r="F16">
            <v>6</v>
          </cell>
          <cell r="G16" t="str">
            <v>Low</v>
          </cell>
        </row>
        <row r="17">
          <cell r="A17" t="str">
            <v>ITM1016</v>
          </cell>
          <cell r="B17" t="str">
            <v>Component 16</v>
          </cell>
          <cell r="C17" t="str">
            <v>Safety</v>
          </cell>
          <cell r="D17">
            <v>245</v>
          </cell>
          <cell r="E17" t="str">
            <v>Central</v>
          </cell>
          <cell r="F17">
            <v>19</v>
          </cell>
          <cell r="G17" t="str">
            <v>High</v>
          </cell>
        </row>
        <row r="18">
          <cell r="A18" t="str">
            <v>ITM1017</v>
          </cell>
          <cell r="B18" t="str">
            <v>Component 17</v>
          </cell>
          <cell r="C18" t="str">
            <v>Safety</v>
          </cell>
          <cell r="D18">
            <v>285</v>
          </cell>
          <cell r="E18" t="str">
            <v>Delta</v>
          </cell>
          <cell r="F18">
            <v>27</v>
          </cell>
          <cell r="G18" t="str">
            <v>Low</v>
          </cell>
        </row>
        <row r="19">
          <cell r="A19" t="str">
            <v>ITM1018</v>
          </cell>
          <cell r="B19" t="str">
            <v>Component 18</v>
          </cell>
          <cell r="C19" t="str">
            <v>Safety</v>
          </cell>
          <cell r="D19">
            <v>8</v>
          </cell>
          <cell r="E19" t="str">
            <v>Central</v>
          </cell>
          <cell r="F19">
            <v>19</v>
          </cell>
          <cell r="G19" t="str">
            <v>High</v>
          </cell>
        </row>
        <row r="20">
          <cell r="A20" t="str">
            <v>ITM1019</v>
          </cell>
          <cell r="B20" t="str">
            <v>Component 19</v>
          </cell>
          <cell r="C20" t="str">
            <v>Mechanical</v>
          </cell>
          <cell r="D20">
            <v>239</v>
          </cell>
          <cell r="E20" t="str">
            <v>Central</v>
          </cell>
          <cell r="F20">
            <v>28</v>
          </cell>
          <cell r="G20" t="str">
            <v>High</v>
          </cell>
        </row>
        <row r="21">
          <cell r="A21" t="str">
            <v>ITM1020</v>
          </cell>
          <cell r="B21" t="str">
            <v>Component 20</v>
          </cell>
          <cell r="C21" t="str">
            <v>Mechanical</v>
          </cell>
          <cell r="D21">
            <v>151</v>
          </cell>
          <cell r="E21" t="str">
            <v>Delta</v>
          </cell>
          <cell r="F21">
            <v>21</v>
          </cell>
          <cell r="G21" t="str">
            <v>High</v>
          </cell>
        </row>
        <row r="22">
          <cell r="A22" t="str">
            <v>ITM1021</v>
          </cell>
          <cell r="B22" t="str">
            <v>Component 21</v>
          </cell>
          <cell r="C22" t="str">
            <v>Packaging</v>
          </cell>
          <cell r="D22">
            <v>313</v>
          </cell>
          <cell r="E22" t="str">
            <v>Delta</v>
          </cell>
          <cell r="F22">
            <v>13</v>
          </cell>
          <cell r="G22" t="str">
            <v>High</v>
          </cell>
        </row>
        <row r="23">
          <cell r="A23" t="str">
            <v>ITM1022</v>
          </cell>
          <cell r="B23" t="str">
            <v>Component 22</v>
          </cell>
          <cell r="C23" t="str">
            <v>Packaging</v>
          </cell>
          <cell r="D23">
            <v>421</v>
          </cell>
          <cell r="E23" t="str">
            <v>Bravo</v>
          </cell>
          <cell r="F23">
            <v>12</v>
          </cell>
          <cell r="G23" t="str">
            <v>Medium</v>
          </cell>
        </row>
        <row r="24">
          <cell r="A24" t="str">
            <v>ITM1023</v>
          </cell>
          <cell r="B24" t="str">
            <v>Component 23</v>
          </cell>
          <cell r="C24" t="str">
            <v>Electrical</v>
          </cell>
          <cell r="D24">
            <v>348</v>
          </cell>
          <cell r="E24" t="str">
            <v>Central</v>
          </cell>
          <cell r="F24">
            <v>28</v>
          </cell>
          <cell r="G24" t="str">
            <v>Low</v>
          </cell>
        </row>
        <row r="25">
          <cell r="A25" t="str">
            <v>ITM1024</v>
          </cell>
          <cell r="B25" t="str">
            <v>Component 24</v>
          </cell>
          <cell r="C25" t="str">
            <v>Packaging</v>
          </cell>
          <cell r="D25">
            <v>224</v>
          </cell>
          <cell r="E25" t="str">
            <v>Bravo</v>
          </cell>
          <cell r="F25">
            <v>12</v>
          </cell>
          <cell r="G25" t="str">
            <v>Medium</v>
          </cell>
        </row>
        <row r="26">
          <cell r="A26" t="str">
            <v>ITM1025</v>
          </cell>
          <cell r="B26" t="str">
            <v>Component 25</v>
          </cell>
          <cell r="C26" t="str">
            <v>Packaging</v>
          </cell>
          <cell r="D26">
            <v>275</v>
          </cell>
          <cell r="E26" t="str">
            <v>Delta</v>
          </cell>
          <cell r="F26">
            <v>21</v>
          </cell>
          <cell r="G26" t="str">
            <v>Medium</v>
          </cell>
        </row>
        <row r="27">
          <cell r="A27" t="str">
            <v>ITM1026</v>
          </cell>
          <cell r="B27" t="str">
            <v>Component 26</v>
          </cell>
          <cell r="C27" t="str">
            <v>Safety</v>
          </cell>
          <cell r="D27">
            <v>326</v>
          </cell>
          <cell r="E27" t="str">
            <v>Central</v>
          </cell>
          <cell r="F27">
            <v>11</v>
          </cell>
          <cell r="G27" t="str">
            <v>High</v>
          </cell>
        </row>
        <row r="28">
          <cell r="A28" t="str">
            <v>ITM1027</v>
          </cell>
          <cell r="B28" t="str">
            <v>Component 27</v>
          </cell>
          <cell r="C28" t="str">
            <v>Mechanical</v>
          </cell>
          <cell r="D28">
            <v>348</v>
          </cell>
          <cell r="E28" t="str">
            <v>Bravo</v>
          </cell>
          <cell r="F28">
            <v>3</v>
          </cell>
          <cell r="G28" t="str">
            <v>High</v>
          </cell>
        </row>
        <row r="29">
          <cell r="A29" t="str">
            <v>ITM1028</v>
          </cell>
          <cell r="B29" t="str">
            <v>Component 28</v>
          </cell>
          <cell r="C29" t="str">
            <v>Mechanical</v>
          </cell>
          <cell r="D29">
            <v>463</v>
          </cell>
          <cell r="E29" t="str">
            <v>Central</v>
          </cell>
          <cell r="F29">
            <v>22</v>
          </cell>
          <cell r="G29" t="str">
            <v>Low</v>
          </cell>
        </row>
        <row r="30">
          <cell r="A30" t="str">
            <v>ITM1029</v>
          </cell>
          <cell r="B30" t="str">
            <v>Component 29</v>
          </cell>
          <cell r="C30" t="str">
            <v>Packaging</v>
          </cell>
          <cell r="D30">
            <v>73</v>
          </cell>
          <cell r="E30" t="str">
            <v>Delta</v>
          </cell>
          <cell r="F30">
            <v>25</v>
          </cell>
          <cell r="G30" t="str">
            <v>Low</v>
          </cell>
        </row>
        <row r="31">
          <cell r="A31" t="str">
            <v>ITM1030</v>
          </cell>
          <cell r="B31" t="str">
            <v>Component 30</v>
          </cell>
          <cell r="C31" t="str">
            <v>Packaging</v>
          </cell>
          <cell r="D31">
            <v>190</v>
          </cell>
          <cell r="E31" t="str">
            <v>Alpha</v>
          </cell>
          <cell r="F31">
            <v>11</v>
          </cell>
          <cell r="G31" t="str">
            <v>High</v>
          </cell>
        </row>
        <row r="32">
          <cell r="A32" t="str">
            <v>ITM1031</v>
          </cell>
          <cell r="B32" t="str">
            <v>Component 31</v>
          </cell>
          <cell r="C32" t="str">
            <v>Mechanical</v>
          </cell>
          <cell r="D32">
            <v>462</v>
          </cell>
          <cell r="E32" t="str">
            <v>Central</v>
          </cell>
          <cell r="F32">
            <v>10</v>
          </cell>
          <cell r="G32" t="str">
            <v>Low</v>
          </cell>
        </row>
        <row r="33">
          <cell r="A33" t="str">
            <v>ITM1032</v>
          </cell>
          <cell r="B33" t="str">
            <v>Component 32</v>
          </cell>
          <cell r="C33" t="str">
            <v>Packaging</v>
          </cell>
          <cell r="D33">
            <v>282</v>
          </cell>
          <cell r="E33" t="str">
            <v>Alpha</v>
          </cell>
          <cell r="F33">
            <v>21</v>
          </cell>
          <cell r="G33" t="str">
            <v>High</v>
          </cell>
        </row>
        <row r="34">
          <cell r="A34" t="str">
            <v>ITM1033</v>
          </cell>
          <cell r="B34" t="str">
            <v>Component 33</v>
          </cell>
          <cell r="C34" t="str">
            <v>Packaging</v>
          </cell>
          <cell r="D34">
            <v>293</v>
          </cell>
          <cell r="E34" t="str">
            <v>Delta</v>
          </cell>
          <cell r="F34">
            <v>15</v>
          </cell>
          <cell r="G34" t="str">
            <v>Low</v>
          </cell>
        </row>
        <row r="35">
          <cell r="A35" t="str">
            <v>ITM1034</v>
          </cell>
          <cell r="B35" t="str">
            <v>Component 34</v>
          </cell>
          <cell r="C35" t="str">
            <v>Electrical</v>
          </cell>
          <cell r="D35">
            <v>71</v>
          </cell>
          <cell r="E35" t="str">
            <v>Delta</v>
          </cell>
          <cell r="F35">
            <v>24</v>
          </cell>
          <cell r="G35" t="str">
            <v>Medium</v>
          </cell>
        </row>
        <row r="36">
          <cell r="A36" t="str">
            <v>ITM1035</v>
          </cell>
          <cell r="B36" t="str">
            <v>Component 35</v>
          </cell>
          <cell r="C36" t="str">
            <v>Safety</v>
          </cell>
          <cell r="D36">
            <v>298</v>
          </cell>
          <cell r="E36" t="str">
            <v>Alpha</v>
          </cell>
          <cell r="F36">
            <v>6</v>
          </cell>
          <cell r="G36" t="str">
            <v>Medium</v>
          </cell>
        </row>
        <row r="37">
          <cell r="A37" t="str">
            <v>ITM1036</v>
          </cell>
          <cell r="B37" t="str">
            <v>Component 36</v>
          </cell>
          <cell r="C37" t="str">
            <v>Packaging</v>
          </cell>
          <cell r="D37">
            <v>184</v>
          </cell>
          <cell r="E37" t="str">
            <v>Central</v>
          </cell>
          <cell r="F37">
            <v>15</v>
          </cell>
          <cell r="G37" t="str">
            <v>Medium</v>
          </cell>
        </row>
        <row r="38">
          <cell r="A38" t="str">
            <v>ITM1037</v>
          </cell>
          <cell r="B38" t="str">
            <v>Component 37</v>
          </cell>
          <cell r="C38" t="str">
            <v>Packaging</v>
          </cell>
          <cell r="D38">
            <v>186</v>
          </cell>
          <cell r="E38" t="str">
            <v>Central</v>
          </cell>
          <cell r="F38">
            <v>19</v>
          </cell>
          <cell r="G38" t="str">
            <v>Medium</v>
          </cell>
        </row>
        <row r="39">
          <cell r="A39" t="str">
            <v>ITM1038</v>
          </cell>
          <cell r="B39" t="str">
            <v>Component 38</v>
          </cell>
          <cell r="C39" t="str">
            <v>Mechanical</v>
          </cell>
          <cell r="D39">
            <v>306</v>
          </cell>
          <cell r="E39" t="str">
            <v>Delta</v>
          </cell>
          <cell r="F39">
            <v>21</v>
          </cell>
          <cell r="G39" t="str">
            <v>High</v>
          </cell>
        </row>
        <row r="40">
          <cell r="A40" t="str">
            <v>ITM1039</v>
          </cell>
          <cell r="B40" t="str">
            <v>Component 39</v>
          </cell>
          <cell r="C40" t="str">
            <v>Electrical</v>
          </cell>
          <cell r="D40">
            <v>409</v>
          </cell>
          <cell r="E40" t="str">
            <v>Central</v>
          </cell>
          <cell r="F40">
            <v>28</v>
          </cell>
          <cell r="G40" t="str">
            <v>Low</v>
          </cell>
        </row>
        <row r="41">
          <cell r="A41" t="str">
            <v>ITM1040</v>
          </cell>
          <cell r="B41" t="str">
            <v>Component 40</v>
          </cell>
          <cell r="C41" t="str">
            <v>Mechanical</v>
          </cell>
          <cell r="D41">
            <v>180</v>
          </cell>
          <cell r="E41" t="str">
            <v>Central</v>
          </cell>
          <cell r="F41">
            <v>19</v>
          </cell>
          <cell r="G41" t="str">
            <v>Medium</v>
          </cell>
        </row>
        <row r="44">
          <cell r="A44" t="str">
            <v>Phase -1</v>
          </cell>
        </row>
        <row r="46">
          <cell r="B46" t="str">
            <v>Data Quality Assessment Report</v>
          </cell>
          <cell r="C46"/>
          <cell r="D46"/>
          <cell r="E46"/>
          <cell r="F46"/>
        </row>
        <row r="47">
          <cell r="B47"/>
          <cell r="C47"/>
          <cell r="D47"/>
          <cell r="E47"/>
          <cell r="F47"/>
        </row>
        <row r="48">
          <cell r="B48" t="str">
            <v>Total records:</v>
          </cell>
          <cell r="C48"/>
          <cell r="D48"/>
          <cell r="E48">
            <v>40</v>
          </cell>
          <cell r="F48"/>
        </row>
        <row r="49">
          <cell r="B49" t="str">
            <v>Total columns:</v>
          </cell>
          <cell r="C49"/>
          <cell r="D49"/>
          <cell r="E49">
            <v>7</v>
          </cell>
          <cell r="F49"/>
        </row>
        <row r="50">
          <cell r="B50" t="str">
            <v>Blank (Missing) Values identified :</v>
          </cell>
          <cell r="C50"/>
          <cell r="D50"/>
          <cell r="E50" t="str">
            <v>None</v>
          </cell>
          <cell r="F50"/>
        </row>
        <row r="51">
          <cell r="B51" t="str">
            <v>Duplicate records identified :</v>
          </cell>
          <cell r="C51"/>
          <cell r="D51"/>
          <cell r="E51" t="str">
            <v>None</v>
          </cell>
          <cell r="F51"/>
        </row>
        <row r="52">
          <cell r="B52" t="str">
            <v>Formatting issues:</v>
          </cell>
          <cell r="C52"/>
          <cell r="D52"/>
          <cell r="E52" t="str">
            <v>Not observed</v>
          </cell>
          <cell r="F52"/>
        </row>
        <row r="53">
          <cell r="B53" t="str">
            <v>Other observations:</v>
          </cell>
          <cell r="C53"/>
          <cell r="D53"/>
          <cell r="E53" t="str">
            <v>None</v>
          </cell>
          <cell r="F53"/>
        </row>
        <row r="54">
          <cell r="B54" t="str">
            <v>OBSERVATIONS  :</v>
          </cell>
          <cell r="C54"/>
          <cell r="D54"/>
          <cell r="E54"/>
          <cell r="F54"/>
        </row>
        <row r="55">
          <cell r="B55" t="str">
            <v xml:space="preserve">After carrying out preliminary formatting for professional outlook of the data set received from the client; Precision Industrial Components Ltd., visual inspection was carried out to idenfify blank cells (missing Nos.), duplicate records and inconsistant formatting or any other Data Quality concerns.  In the above raw data set obvious inconsistencies were not observed. Data types are appropriate (dates, numbers and texts). </v>
          </cell>
          <cell r="C55"/>
          <cell r="D55"/>
          <cell r="E55"/>
          <cell r="F55"/>
        </row>
        <row r="56">
          <cell r="B56"/>
          <cell r="C56"/>
          <cell r="D56"/>
          <cell r="E56"/>
          <cell r="F56"/>
        </row>
        <row r="57">
          <cell r="A57"/>
          <cell r="B57"/>
          <cell r="C57"/>
          <cell r="D57"/>
          <cell r="E57"/>
          <cell r="F57"/>
          <cell r="G57"/>
        </row>
        <row r="58">
          <cell r="A58"/>
          <cell r="B58"/>
          <cell r="C58"/>
          <cell r="D58"/>
          <cell r="E58"/>
          <cell r="F58"/>
          <cell r="G58"/>
        </row>
        <row r="59">
          <cell r="A59"/>
          <cell r="B59"/>
          <cell r="C59"/>
          <cell r="D59"/>
          <cell r="E59"/>
          <cell r="F59"/>
          <cell r="G59"/>
        </row>
        <row r="60">
          <cell r="A60"/>
          <cell r="B60"/>
          <cell r="C60"/>
          <cell r="D60"/>
          <cell r="E60"/>
          <cell r="F60"/>
          <cell r="G60"/>
        </row>
        <row r="61">
          <cell r="A61"/>
          <cell r="B61"/>
          <cell r="C61"/>
          <cell r="D61"/>
          <cell r="E61"/>
          <cell r="F61"/>
          <cell r="G61"/>
        </row>
        <row r="62">
          <cell r="A62"/>
          <cell r="B62"/>
          <cell r="C62"/>
          <cell r="D62"/>
          <cell r="E62"/>
          <cell r="F62"/>
          <cell r="G62"/>
        </row>
        <row r="63">
          <cell r="A63"/>
          <cell r="B63"/>
          <cell r="C63"/>
          <cell r="D63"/>
          <cell r="E63"/>
          <cell r="F63"/>
          <cell r="G63"/>
        </row>
        <row r="64">
          <cell r="A64"/>
          <cell r="B64" t="str">
            <v>BUSINESS READINESS</v>
          </cell>
          <cell r="C64"/>
          <cell r="D64"/>
          <cell r="E64"/>
          <cell r="F64"/>
          <cell r="G64"/>
        </row>
        <row r="65">
          <cell r="A65"/>
          <cell r="B65" t="str">
            <v>The datasets appear suitable for analysis. No significant data quality issues were identified during the preliminary assessment. The data is considered ready to proceed to the Data Cleaning &amp; Validation phase.</v>
          </cell>
          <cell r="C65"/>
          <cell r="D65"/>
          <cell r="E65"/>
          <cell r="F65"/>
          <cell r="G65"/>
        </row>
        <row r="66">
          <cell r="A66"/>
          <cell r="B66"/>
          <cell r="C66"/>
          <cell r="D66"/>
          <cell r="E66"/>
          <cell r="F66"/>
          <cell r="G66"/>
        </row>
        <row r="67">
          <cell r="A67"/>
          <cell r="B67"/>
          <cell r="C67"/>
          <cell r="D67"/>
          <cell r="E67"/>
          <cell r="F67"/>
          <cell r="G67"/>
        </row>
        <row r="68">
          <cell r="A68"/>
          <cell r="B68"/>
          <cell r="C68"/>
          <cell r="D68"/>
          <cell r="E68"/>
          <cell r="F68"/>
          <cell r="G68"/>
        </row>
        <row r="69">
          <cell r="A69"/>
          <cell r="B69"/>
          <cell r="C69"/>
          <cell r="D69"/>
          <cell r="E69"/>
          <cell r="F69"/>
          <cell r="G69"/>
        </row>
        <row r="73">
          <cell r="A73" t="str">
            <v>Phase -2</v>
          </cell>
          <cell r="B73"/>
          <cell r="C73"/>
          <cell r="D73"/>
          <cell r="E73"/>
          <cell r="F73"/>
          <cell r="G73"/>
        </row>
        <row r="74">
          <cell r="A74"/>
          <cell r="B74"/>
          <cell r="C74"/>
          <cell r="D74"/>
          <cell r="E74"/>
          <cell r="F74"/>
          <cell r="G74"/>
        </row>
        <row r="75">
          <cell r="A75"/>
          <cell r="B75" t="str">
            <v>Data Cleaning &amp; Validation</v>
          </cell>
          <cell r="C75"/>
          <cell r="D75"/>
          <cell r="E75"/>
          <cell r="F75"/>
          <cell r="G75"/>
        </row>
        <row r="76">
          <cell r="A76"/>
          <cell r="B76"/>
          <cell r="C76"/>
          <cell r="D76"/>
          <cell r="E76"/>
          <cell r="F76"/>
          <cell r="G76"/>
        </row>
        <row r="77">
          <cell r="A77"/>
          <cell r="B77" t="str">
            <v>1. Converted the above data table to an Excel Table to facilitate with added features to support data analysis.</v>
          </cell>
          <cell r="C77"/>
          <cell r="D77"/>
          <cell r="E77"/>
          <cell r="F77"/>
          <cell r="G77"/>
        </row>
        <row r="78">
          <cell r="A78"/>
          <cell r="B78" t="str">
            <v>2. Carefully reviewed by Sorting, but could not observe inconsistancies / data quality issues.</v>
          </cell>
          <cell r="C78"/>
          <cell r="D78"/>
          <cell r="E78"/>
          <cell r="F78"/>
          <cell r="G78"/>
        </row>
        <row r="79">
          <cell r="A79"/>
          <cell r="B79" t="str">
            <v>3. No critical data quality issues remain that would materially affect the planned analysis to proceed.</v>
          </cell>
          <cell r="C79"/>
          <cell r="D79"/>
          <cell r="E79"/>
          <cell r="F79"/>
          <cell r="G79"/>
        </row>
        <row r="80">
          <cell r="A80"/>
          <cell r="B80"/>
          <cell r="C80"/>
          <cell r="D80"/>
          <cell r="E80"/>
          <cell r="F80"/>
          <cell r="G80"/>
        </row>
      </sheetData>
      <sheetData sheetId="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23.650931597222" createdVersion="8" refreshedVersion="8" minRefreshableVersion="3" recordCount="200" xr:uid="{69F8FD37-1958-4D7D-BDCA-F06436C9FC96}">
  <cacheSource type="worksheet">
    <worksheetSource name="Table1"/>
  </cacheSource>
  <cacheFields count="17">
    <cacheField name="Transaction ID" numFmtId="0">
      <sharedItems/>
    </cacheField>
    <cacheField name="Transaction Date" numFmtId="164">
      <sharedItems containsSemiMixedTypes="0" containsNonDate="0" containsDate="1" containsString="0" minDate="2026-06-01T00:00:00" maxDate="2026-07-17T00:00:00"/>
    </cacheField>
    <cacheField name="Item Code" numFmtId="0">
      <sharedItems/>
    </cacheField>
    <cacheField name="Warehouse" numFmtId="0">
      <sharedItems count="3">
        <s v="WH-A"/>
        <s v="WH-C"/>
        <s v="WH-B"/>
      </sharedItems>
    </cacheField>
    <cacheField name="Department" numFmtId="0">
      <sharedItems count="3">
        <s v="Stores"/>
        <s v="Production"/>
        <s v="Maintenance"/>
      </sharedItems>
    </cacheField>
    <cacheField name="Qty Received" numFmtId="0">
      <sharedItems containsSemiMixedTypes="0" containsString="0" containsNumber="1" containsInteger="1" minValue="0" maxValue="118"/>
    </cacheField>
    <cacheField name="Qty Issued" numFmtId="0">
      <sharedItems containsSemiMixedTypes="0" containsString="0" containsNumber="1" containsInteger="1" minValue="0" maxValue="100"/>
    </cacheField>
    <cacheField name="Current Stock" numFmtId="0">
      <sharedItems containsSemiMixedTypes="0" containsString="0" containsNumber="1" containsInteger="1" minValue="7" maxValue="249"/>
    </cacheField>
    <cacheField name="Reorder Level" numFmtId="0">
      <sharedItems containsSemiMixedTypes="0" containsString="0" containsNumber="1" containsInteger="1" minValue="20" maxValue="80" count="61">
        <n v="53"/>
        <n v="63"/>
        <n v="52"/>
        <n v="78"/>
        <n v="40"/>
        <n v="49"/>
        <n v="60"/>
        <n v="44"/>
        <n v="47"/>
        <n v="61"/>
        <n v="42"/>
        <n v="36"/>
        <n v="73"/>
        <n v="54"/>
        <n v="28"/>
        <n v="31"/>
        <n v="30"/>
        <n v="41"/>
        <n v="26"/>
        <n v="77"/>
        <n v="48"/>
        <n v="65"/>
        <n v="55"/>
        <n v="21"/>
        <n v="32"/>
        <n v="70"/>
        <n v="72"/>
        <n v="56"/>
        <n v="71"/>
        <n v="38"/>
        <n v="68"/>
        <n v="79"/>
        <n v="50"/>
        <n v="25"/>
        <n v="62"/>
        <n v="80"/>
        <n v="76"/>
        <n v="34"/>
        <n v="51"/>
        <n v="22"/>
        <n v="69"/>
        <n v="23"/>
        <n v="57"/>
        <n v="67"/>
        <n v="74"/>
        <n v="24"/>
        <n v="43"/>
        <n v="66"/>
        <n v="75"/>
        <n v="59"/>
        <n v="27"/>
        <n v="20"/>
        <n v="64"/>
        <n v="46"/>
        <n v="35"/>
        <n v="39"/>
        <n v="33"/>
        <n v="37"/>
        <n v="45"/>
        <n v="58"/>
        <n v="29"/>
      </sharedItems>
    </cacheField>
    <cacheField name="Transaction Type" numFmtId="0">
      <sharedItems count="2">
        <s v="Issue"/>
        <s v="Receipt"/>
      </sharedItems>
    </cacheField>
    <cacheField name="Item Description" numFmtId="0">
      <sharedItems count="39">
        <s v="Component 21"/>
        <s v="Component 39"/>
        <s v="Component 3"/>
        <s v="Component 26"/>
        <s v="Component 40"/>
        <s v="Component 15"/>
        <s v="Component 24"/>
        <s v="Component 10"/>
        <s v="Component 12"/>
        <s v="Component 18"/>
        <s v="Component 19"/>
        <s v="Component 9"/>
        <s v="Component 6"/>
        <s v="Component 31"/>
        <s v="Component 4"/>
        <s v="Component 14"/>
        <s v="Component 11"/>
        <s v="Component 2"/>
        <s v="Component 32"/>
        <s v="Component 37"/>
        <s v="Component 34"/>
        <s v="Component 16"/>
        <s v="Component 23"/>
        <s v="Component 8"/>
        <s v="Component 1"/>
        <s v="Component 17"/>
        <s v="Component 7"/>
        <s v="Component 33"/>
        <s v="Component 30"/>
        <s v="Component 22"/>
        <s v="Component 13"/>
        <s v="Component 35"/>
        <s v="Component 27"/>
        <s v="Component 36"/>
        <s v="Component 29"/>
        <s v="Component 38"/>
        <s v="Component 28"/>
        <s v="Component 20"/>
        <s v="Component 5"/>
      </sharedItems>
    </cacheField>
    <cacheField name="Category" numFmtId="0">
      <sharedItems count="4">
        <s v="Packaging"/>
        <s v="Electrical"/>
        <s v="Safety"/>
        <s v="Mechanical"/>
      </sharedItems>
    </cacheField>
    <cacheField name="Unit Cost (Currency)" numFmtId="165">
      <sharedItems containsSemiMixedTypes="0" containsString="0" containsNumber="1" containsInteger="1" minValue="8" maxValue="494" count="37">
        <n v="313"/>
        <n v="409"/>
        <n v="246"/>
        <n v="326"/>
        <n v="180"/>
        <n v="406"/>
        <n v="224"/>
        <n v="90"/>
        <n v="365"/>
        <n v="8"/>
        <n v="239"/>
        <n v="209"/>
        <n v="156"/>
        <n v="462"/>
        <n v="165"/>
        <n v="270"/>
        <n v="386"/>
        <n v="109"/>
        <n v="282"/>
        <n v="186"/>
        <n v="71"/>
        <n v="245"/>
        <n v="348"/>
        <n v="375"/>
        <n v="285"/>
        <n v="374"/>
        <n v="293"/>
        <n v="190"/>
        <n v="421"/>
        <n v="494"/>
        <n v="298"/>
        <n v="184"/>
        <n v="73"/>
        <n v="306"/>
        <n v="463"/>
        <n v="151"/>
        <n v="476"/>
      </sharedItems>
    </cacheField>
    <cacheField name="Preferred Supplier" numFmtId="0">
      <sharedItems count="4">
        <s v="Delta"/>
        <s v="Central"/>
        <s v="Bravo"/>
        <s v="Alpha"/>
      </sharedItems>
    </cacheField>
    <cacheField name="Lead Time (Days)" numFmtId="0">
      <sharedItems containsSemiMixedTypes="0" containsString="0" containsNumber="1" containsInteger="1" minValue="3" maxValue="30" count="19">
        <n v="13"/>
        <n v="28"/>
        <n v="30"/>
        <n v="11"/>
        <n v="19"/>
        <n v="6"/>
        <n v="12"/>
        <n v="7"/>
        <n v="10"/>
        <n v="8"/>
        <n v="21"/>
        <n v="4"/>
        <n v="24"/>
        <n v="5"/>
        <n v="27"/>
        <n v="15"/>
        <n v="3"/>
        <n v="25"/>
        <n v="22"/>
      </sharedItems>
    </cacheField>
    <cacheField name="Criticality" numFmtId="0">
      <sharedItems count="3">
        <s v="High"/>
        <s v="Low"/>
        <s v="Medium"/>
      </sharedItems>
    </cacheField>
    <cacheField name="Inventory Value (Currency)" numFmtId="165">
      <sharedItems containsSemiMixedTypes="0" containsString="0" containsNumber="1" containsInteger="1" minValue="808" maxValue="10440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T0001"/>
    <d v="2026-07-10T00:00:00"/>
    <s v="ITM1021"/>
    <x v="0"/>
    <x v="0"/>
    <n v="84"/>
    <n v="12"/>
    <n v="135"/>
    <x v="0"/>
    <x v="0"/>
    <x v="0"/>
    <x v="0"/>
    <x v="0"/>
    <x v="0"/>
    <x v="0"/>
    <x v="0"/>
    <n v="42255"/>
  </r>
  <r>
    <s v="T0002"/>
    <d v="2026-06-13T00:00:00"/>
    <s v="ITM1039"/>
    <x v="1"/>
    <x v="1"/>
    <n v="35"/>
    <n v="40"/>
    <n v="111"/>
    <x v="1"/>
    <x v="1"/>
    <x v="1"/>
    <x v="1"/>
    <x v="1"/>
    <x v="1"/>
    <x v="1"/>
    <x v="1"/>
    <n v="45399"/>
  </r>
  <r>
    <s v="T0003"/>
    <d v="2026-07-05T00:00:00"/>
    <s v="ITM1003"/>
    <x v="0"/>
    <x v="0"/>
    <n v="80"/>
    <n v="15"/>
    <n v="161"/>
    <x v="2"/>
    <x v="1"/>
    <x v="2"/>
    <x v="1"/>
    <x v="2"/>
    <x v="0"/>
    <x v="2"/>
    <x v="0"/>
    <n v="39606"/>
  </r>
  <r>
    <s v="T0004"/>
    <d v="2026-06-19T00:00:00"/>
    <s v="ITM1026"/>
    <x v="1"/>
    <x v="0"/>
    <n v="24"/>
    <n v="80"/>
    <n v="245"/>
    <x v="3"/>
    <x v="0"/>
    <x v="3"/>
    <x v="2"/>
    <x v="3"/>
    <x v="1"/>
    <x v="3"/>
    <x v="0"/>
    <n v="79870"/>
  </r>
  <r>
    <s v="T0005"/>
    <d v="2026-06-10T00:00:00"/>
    <s v="ITM1040"/>
    <x v="2"/>
    <x v="0"/>
    <n v="102"/>
    <n v="42"/>
    <n v="92"/>
    <x v="4"/>
    <x v="0"/>
    <x v="4"/>
    <x v="3"/>
    <x v="4"/>
    <x v="1"/>
    <x v="4"/>
    <x v="2"/>
    <n v="16560"/>
  </r>
  <r>
    <s v="T0006"/>
    <d v="2026-06-29T00:00:00"/>
    <s v="ITM1015"/>
    <x v="2"/>
    <x v="1"/>
    <n v="114"/>
    <n v="2"/>
    <n v="93"/>
    <x v="5"/>
    <x v="0"/>
    <x v="5"/>
    <x v="1"/>
    <x v="5"/>
    <x v="1"/>
    <x v="5"/>
    <x v="1"/>
    <n v="37758"/>
  </r>
  <r>
    <s v="T0007"/>
    <d v="2026-07-14T00:00:00"/>
    <s v="ITM1026"/>
    <x v="2"/>
    <x v="1"/>
    <n v="18"/>
    <n v="97"/>
    <n v="186"/>
    <x v="6"/>
    <x v="1"/>
    <x v="3"/>
    <x v="2"/>
    <x v="3"/>
    <x v="1"/>
    <x v="3"/>
    <x v="0"/>
    <n v="60636"/>
  </r>
  <r>
    <s v="T0008"/>
    <d v="2026-07-03T00:00:00"/>
    <s v="ITM1024"/>
    <x v="0"/>
    <x v="1"/>
    <n v="114"/>
    <n v="22"/>
    <n v="63"/>
    <x v="7"/>
    <x v="1"/>
    <x v="6"/>
    <x v="0"/>
    <x v="6"/>
    <x v="2"/>
    <x v="6"/>
    <x v="2"/>
    <n v="14112"/>
  </r>
  <r>
    <s v="T0009"/>
    <d v="2026-06-27T00:00:00"/>
    <s v="ITM1010"/>
    <x v="1"/>
    <x v="0"/>
    <n v="94"/>
    <n v="21"/>
    <n v="150"/>
    <x v="8"/>
    <x v="0"/>
    <x v="7"/>
    <x v="0"/>
    <x v="7"/>
    <x v="1"/>
    <x v="7"/>
    <x v="2"/>
    <n v="13500"/>
  </r>
  <r>
    <s v="T0010"/>
    <d v="2026-06-21T00:00:00"/>
    <s v="ITM1012"/>
    <x v="0"/>
    <x v="0"/>
    <n v="11"/>
    <n v="61"/>
    <n v="221"/>
    <x v="9"/>
    <x v="0"/>
    <x v="8"/>
    <x v="0"/>
    <x v="8"/>
    <x v="0"/>
    <x v="5"/>
    <x v="1"/>
    <n v="80665"/>
  </r>
  <r>
    <s v="T0011"/>
    <d v="2026-06-01T00:00:00"/>
    <s v="ITM1040"/>
    <x v="0"/>
    <x v="2"/>
    <n v="18"/>
    <n v="36"/>
    <n v="129"/>
    <x v="10"/>
    <x v="1"/>
    <x v="4"/>
    <x v="3"/>
    <x v="4"/>
    <x v="1"/>
    <x v="4"/>
    <x v="2"/>
    <n v="23220"/>
  </r>
  <r>
    <s v="T0012"/>
    <d v="2026-07-06T00:00:00"/>
    <s v="ITM1003"/>
    <x v="2"/>
    <x v="1"/>
    <n v="78"/>
    <n v="56"/>
    <n v="196"/>
    <x v="11"/>
    <x v="1"/>
    <x v="2"/>
    <x v="1"/>
    <x v="2"/>
    <x v="0"/>
    <x v="2"/>
    <x v="0"/>
    <n v="48216"/>
  </r>
  <r>
    <s v="T0013"/>
    <d v="2026-07-16T00:00:00"/>
    <s v="ITM1018"/>
    <x v="2"/>
    <x v="0"/>
    <n v="63"/>
    <n v="16"/>
    <n v="130"/>
    <x v="12"/>
    <x v="0"/>
    <x v="9"/>
    <x v="2"/>
    <x v="9"/>
    <x v="1"/>
    <x v="4"/>
    <x v="0"/>
    <n v="1040"/>
  </r>
  <r>
    <s v="T0014"/>
    <d v="2026-07-02T00:00:00"/>
    <s v="ITM1019"/>
    <x v="1"/>
    <x v="0"/>
    <n v="52"/>
    <n v="91"/>
    <n v="187"/>
    <x v="13"/>
    <x v="0"/>
    <x v="10"/>
    <x v="3"/>
    <x v="10"/>
    <x v="1"/>
    <x v="1"/>
    <x v="0"/>
    <n v="44693"/>
  </r>
  <r>
    <s v="T0015"/>
    <d v="2026-06-13T00:00:00"/>
    <s v="ITM1009"/>
    <x v="1"/>
    <x v="0"/>
    <n v="45"/>
    <n v="13"/>
    <n v="147"/>
    <x v="2"/>
    <x v="0"/>
    <x v="11"/>
    <x v="3"/>
    <x v="11"/>
    <x v="2"/>
    <x v="8"/>
    <x v="1"/>
    <n v="30723"/>
  </r>
  <r>
    <s v="T0016"/>
    <d v="2026-06-22T00:00:00"/>
    <s v="ITM1012"/>
    <x v="2"/>
    <x v="2"/>
    <n v="108"/>
    <n v="93"/>
    <n v="46"/>
    <x v="14"/>
    <x v="1"/>
    <x v="8"/>
    <x v="0"/>
    <x v="8"/>
    <x v="0"/>
    <x v="5"/>
    <x v="1"/>
    <n v="16790"/>
  </r>
  <r>
    <s v="T0017"/>
    <d v="2026-06-25T00:00:00"/>
    <s v="ITM1006"/>
    <x v="0"/>
    <x v="1"/>
    <n v="64"/>
    <n v="99"/>
    <n v="115"/>
    <x v="15"/>
    <x v="0"/>
    <x v="12"/>
    <x v="1"/>
    <x v="12"/>
    <x v="1"/>
    <x v="9"/>
    <x v="0"/>
    <n v="17940"/>
  </r>
  <r>
    <s v="T0018"/>
    <d v="2026-07-07T00:00:00"/>
    <s v="ITM1031"/>
    <x v="2"/>
    <x v="1"/>
    <n v="23"/>
    <n v="92"/>
    <n v="152"/>
    <x v="16"/>
    <x v="1"/>
    <x v="13"/>
    <x v="3"/>
    <x v="13"/>
    <x v="1"/>
    <x v="8"/>
    <x v="1"/>
    <n v="70224"/>
  </r>
  <r>
    <s v="T0019"/>
    <d v="2026-06-20T00:00:00"/>
    <s v="ITM1021"/>
    <x v="2"/>
    <x v="1"/>
    <n v="101"/>
    <n v="41"/>
    <n v="74"/>
    <x v="4"/>
    <x v="0"/>
    <x v="0"/>
    <x v="0"/>
    <x v="0"/>
    <x v="0"/>
    <x v="0"/>
    <x v="0"/>
    <n v="23162"/>
  </r>
  <r>
    <s v="T0020"/>
    <d v="2026-07-02T00:00:00"/>
    <s v="ITM1004"/>
    <x v="2"/>
    <x v="1"/>
    <n v="108"/>
    <n v="3"/>
    <n v="12"/>
    <x v="17"/>
    <x v="0"/>
    <x v="14"/>
    <x v="3"/>
    <x v="14"/>
    <x v="1"/>
    <x v="10"/>
    <x v="0"/>
    <n v="1980"/>
  </r>
  <r>
    <s v="T0021"/>
    <d v="2026-06-05T00:00:00"/>
    <s v="ITM1031"/>
    <x v="0"/>
    <x v="2"/>
    <n v="84"/>
    <n v="50"/>
    <n v="213"/>
    <x v="18"/>
    <x v="1"/>
    <x v="13"/>
    <x v="3"/>
    <x v="13"/>
    <x v="1"/>
    <x v="8"/>
    <x v="1"/>
    <n v="98406"/>
  </r>
  <r>
    <s v="T0022"/>
    <d v="2026-06-22T00:00:00"/>
    <s v="ITM1014"/>
    <x v="0"/>
    <x v="1"/>
    <n v="34"/>
    <n v="71"/>
    <n v="166"/>
    <x v="19"/>
    <x v="1"/>
    <x v="15"/>
    <x v="3"/>
    <x v="15"/>
    <x v="1"/>
    <x v="11"/>
    <x v="2"/>
    <n v="44820"/>
  </r>
  <r>
    <s v="T0023"/>
    <d v="2026-06-23T00:00:00"/>
    <s v="ITM1011"/>
    <x v="1"/>
    <x v="2"/>
    <n v="17"/>
    <n v="72"/>
    <n v="158"/>
    <x v="20"/>
    <x v="1"/>
    <x v="16"/>
    <x v="1"/>
    <x v="16"/>
    <x v="1"/>
    <x v="4"/>
    <x v="0"/>
    <n v="60988"/>
  </r>
  <r>
    <s v="T0024"/>
    <d v="2026-06-02T00:00:00"/>
    <s v="ITM1014"/>
    <x v="2"/>
    <x v="1"/>
    <n v="41"/>
    <n v="64"/>
    <n v="88"/>
    <x v="5"/>
    <x v="1"/>
    <x v="15"/>
    <x v="3"/>
    <x v="15"/>
    <x v="1"/>
    <x v="11"/>
    <x v="2"/>
    <n v="23760"/>
  </r>
  <r>
    <s v="T0025"/>
    <d v="2026-06-18T00:00:00"/>
    <s v="ITM1011"/>
    <x v="1"/>
    <x v="0"/>
    <n v="84"/>
    <n v="76"/>
    <n v="177"/>
    <x v="20"/>
    <x v="1"/>
    <x v="16"/>
    <x v="1"/>
    <x v="16"/>
    <x v="1"/>
    <x v="4"/>
    <x v="0"/>
    <n v="68322"/>
  </r>
  <r>
    <s v="T0026"/>
    <d v="2026-06-06T00:00:00"/>
    <s v="ITM1002"/>
    <x v="2"/>
    <x v="0"/>
    <n v="90"/>
    <n v="43"/>
    <n v="162"/>
    <x v="21"/>
    <x v="0"/>
    <x v="17"/>
    <x v="0"/>
    <x v="17"/>
    <x v="3"/>
    <x v="8"/>
    <x v="2"/>
    <n v="17658"/>
  </r>
  <r>
    <s v="T0027"/>
    <d v="2026-07-13T00:00:00"/>
    <s v="ITM1032"/>
    <x v="2"/>
    <x v="1"/>
    <n v="60"/>
    <n v="38"/>
    <n v="244"/>
    <x v="8"/>
    <x v="1"/>
    <x v="18"/>
    <x v="0"/>
    <x v="18"/>
    <x v="3"/>
    <x v="10"/>
    <x v="0"/>
    <n v="68808"/>
  </r>
  <r>
    <s v="T0028"/>
    <d v="2026-07-05T00:00:00"/>
    <s v="ITM1037"/>
    <x v="2"/>
    <x v="1"/>
    <n v="73"/>
    <n v="92"/>
    <n v="67"/>
    <x v="22"/>
    <x v="1"/>
    <x v="19"/>
    <x v="0"/>
    <x v="19"/>
    <x v="1"/>
    <x v="4"/>
    <x v="2"/>
    <n v="12462"/>
  </r>
  <r>
    <s v="T0029"/>
    <d v="2026-07-10T00:00:00"/>
    <s v="ITM1034"/>
    <x v="2"/>
    <x v="2"/>
    <n v="77"/>
    <n v="74"/>
    <n v="246"/>
    <x v="15"/>
    <x v="1"/>
    <x v="20"/>
    <x v="1"/>
    <x v="20"/>
    <x v="0"/>
    <x v="12"/>
    <x v="2"/>
    <n v="17466"/>
  </r>
  <r>
    <s v="T0030"/>
    <d v="2026-07-03T00:00:00"/>
    <s v="ITM1016"/>
    <x v="2"/>
    <x v="1"/>
    <n v="12"/>
    <n v="40"/>
    <n v="204"/>
    <x v="7"/>
    <x v="1"/>
    <x v="21"/>
    <x v="2"/>
    <x v="21"/>
    <x v="1"/>
    <x v="4"/>
    <x v="0"/>
    <n v="49980"/>
  </r>
  <r>
    <s v="T0031"/>
    <d v="2026-06-03T00:00:00"/>
    <s v="ITM1023"/>
    <x v="2"/>
    <x v="1"/>
    <n v="48"/>
    <n v="73"/>
    <n v="22"/>
    <x v="14"/>
    <x v="1"/>
    <x v="22"/>
    <x v="1"/>
    <x v="22"/>
    <x v="1"/>
    <x v="1"/>
    <x v="1"/>
    <n v="7656"/>
  </r>
  <r>
    <s v="T0032"/>
    <d v="2026-07-10T00:00:00"/>
    <s v="ITM1008"/>
    <x v="2"/>
    <x v="2"/>
    <n v="55"/>
    <n v="18"/>
    <n v="171"/>
    <x v="18"/>
    <x v="0"/>
    <x v="23"/>
    <x v="1"/>
    <x v="21"/>
    <x v="0"/>
    <x v="13"/>
    <x v="1"/>
    <n v="41895"/>
  </r>
  <r>
    <s v="T0033"/>
    <d v="2026-07-16T00:00:00"/>
    <s v="ITM1001"/>
    <x v="0"/>
    <x v="2"/>
    <n v="116"/>
    <n v="63"/>
    <n v="193"/>
    <x v="20"/>
    <x v="1"/>
    <x v="24"/>
    <x v="2"/>
    <x v="23"/>
    <x v="3"/>
    <x v="4"/>
    <x v="1"/>
    <n v="72375"/>
  </r>
  <r>
    <s v="T0034"/>
    <d v="2026-06-28T00:00:00"/>
    <s v="ITM1006"/>
    <x v="1"/>
    <x v="0"/>
    <n v="44"/>
    <n v="1"/>
    <n v="180"/>
    <x v="23"/>
    <x v="1"/>
    <x v="12"/>
    <x v="1"/>
    <x v="12"/>
    <x v="1"/>
    <x v="9"/>
    <x v="0"/>
    <n v="28080"/>
  </r>
  <r>
    <s v="T0035"/>
    <d v="2026-06-16T00:00:00"/>
    <s v="ITM1016"/>
    <x v="0"/>
    <x v="0"/>
    <n v="110"/>
    <n v="86"/>
    <n v="175"/>
    <x v="24"/>
    <x v="1"/>
    <x v="21"/>
    <x v="2"/>
    <x v="21"/>
    <x v="1"/>
    <x v="4"/>
    <x v="0"/>
    <n v="42875"/>
  </r>
  <r>
    <s v="T0036"/>
    <d v="2026-07-05T00:00:00"/>
    <s v="ITM1014"/>
    <x v="1"/>
    <x v="0"/>
    <n v="96"/>
    <n v="12"/>
    <n v="68"/>
    <x v="25"/>
    <x v="0"/>
    <x v="15"/>
    <x v="3"/>
    <x v="15"/>
    <x v="1"/>
    <x v="11"/>
    <x v="2"/>
    <n v="18360"/>
  </r>
  <r>
    <s v="T0037"/>
    <d v="2026-07-02T00:00:00"/>
    <s v="ITM1032"/>
    <x v="1"/>
    <x v="0"/>
    <n v="4"/>
    <n v="32"/>
    <n v="86"/>
    <x v="23"/>
    <x v="0"/>
    <x v="18"/>
    <x v="0"/>
    <x v="18"/>
    <x v="3"/>
    <x v="10"/>
    <x v="0"/>
    <n v="24252"/>
  </r>
  <r>
    <s v="T0038"/>
    <d v="2026-07-04T00:00:00"/>
    <s v="ITM1017"/>
    <x v="1"/>
    <x v="0"/>
    <n v="38"/>
    <n v="47"/>
    <n v="93"/>
    <x v="26"/>
    <x v="1"/>
    <x v="25"/>
    <x v="2"/>
    <x v="24"/>
    <x v="0"/>
    <x v="14"/>
    <x v="1"/>
    <n v="26505"/>
  </r>
  <r>
    <s v="T0039"/>
    <d v="2026-07-03T00:00:00"/>
    <s v="ITM1007"/>
    <x v="2"/>
    <x v="2"/>
    <n v="11"/>
    <n v="56"/>
    <n v="28"/>
    <x v="13"/>
    <x v="0"/>
    <x v="26"/>
    <x v="1"/>
    <x v="25"/>
    <x v="2"/>
    <x v="13"/>
    <x v="1"/>
    <n v="10472"/>
  </r>
  <r>
    <s v="T0040"/>
    <d v="2026-07-06T00:00:00"/>
    <s v="ITM1011"/>
    <x v="0"/>
    <x v="1"/>
    <n v="1"/>
    <n v="30"/>
    <n v="86"/>
    <x v="27"/>
    <x v="1"/>
    <x v="16"/>
    <x v="1"/>
    <x v="16"/>
    <x v="1"/>
    <x v="4"/>
    <x v="0"/>
    <n v="33196"/>
  </r>
  <r>
    <s v="T0041"/>
    <d v="2026-06-29T00:00:00"/>
    <s v="ITM1033"/>
    <x v="2"/>
    <x v="2"/>
    <n v="86"/>
    <n v="91"/>
    <n v="32"/>
    <x v="28"/>
    <x v="0"/>
    <x v="27"/>
    <x v="0"/>
    <x v="26"/>
    <x v="0"/>
    <x v="15"/>
    <x v="1"/>
    <n v="9376"/>
  </r>
  <r>
    <s v="T0042"/>
    <d v="2026-06-09T00:00:00"/>
    <s v="ITM1030"/>
    <x v="0"/>
    <x v="0"/>
    <n v="78"/>
    <n v="24"/>
    <n v="9"/>
    <x v="29"/>
    <x v="1"/>
    <x v="28"/>
    <x v="0"/>
    <x v="27"/>
    <x v="3"/>
    <x v="3"/>
    <x v="0"/>
    <n v="1710"/>
  </r>
  <r>
    <s v="T0043"/>
    <d v="2026-06-25T00:00:00"/>
    <s v="ITM1022"/>
    <x v="1"/>
    <x v="2"/>
    <n v="57"/>
    <n v="68"/>
    <n v="162"/>
    <x v="30"/>
    <x v="1"/>
    <x v="29"/>
    <x v="0"/>
    <x v="28"/>
    <x v="2"/>
    <x v="6"/>
    <x v="2"/>
    <n v="68202"/>
  </r>
  <r>
    <s v="T0044"/>
    <d v="2026-06-19T00:00:00"/>
    <s v="ITM1011"/>
    <x v="2"/>
    <x v="0"/>
    <n v="35"/>
    <n v="96"/>
    <n v="178"/>
    <x v="24"/>
    <x v="1"/>
    <x v="16"/>
    <x v="1"/>
    <x v="16"/>
    <x v="1"/>
    <x v="4"/>
    <x v="0"/>
    <n v="68708"/>
  </r>
  <r>
    <s v="T0045"/>
    <d v="2026-07-10T00:00:00"/>
    <s v="ITM1032"/>
    <x v="0"/>
    <x v="0"/>
    <n v="41"/>
    <n v="52"/>
    <n v="164"/>
    <x v="31"/>
    <x v="1"/>
    <x v="18"/>
    <x v="0"/>
    <x v="18"/>
    <x v="3"/>
    <x v="10"/>
    <x v="0"/>
    <n v="46248"/>
  </r>
  <r>
    <s v="T0046"/>
    <d v="2026-07-15T00:00:00"/>
    <s v="ITM1024"/>
    <x v="0"/>
    <x v="2"/>
    <n v="99"/>
    <n v="45"/>
    <n v="202"/>
    <x v="32"/>
    <x v="1"/>
    <x v="6"/>
    <x v="0"/>
    <x v="6"/>
    <x v="2"/>
    <x v="6"/>
    <x v="2"/>
    <n v="45248"/>
  </r>
  <r>
    <s v="T0047"/>
    <d v="2026-07-14T00:00:00"/>
    <s v="ITM1016"/>
    <x v="2"/>
    <x v="1"/>
    <n v="42"/>
    <n v="17"/>
    <n v="226"/>
    <x v="33"/>
    <x v="1"/>
    <x v="21"/>
    <x v="2"/>
    <x v="21"/>
    <x v="1"/>
    <x v="4"/>
    <x v="0"/>
    <n v="55370"/>
  </r>
  <r>
    <s v="T0048"/>
    <d v="2026-06-01T00:00:00"/>
    <s v="ITM1037"/>
    <x v="0"/>
    <x v="0"/>
    <n v="115"/>
    <n v="100"/>
    <n v="45"/>
    <x v="34"/>
    <x v="1"/>
    <x v="19"/>
    <x v="0"/>
    <x v="19"/>
    <x v="1"/>
    <x v="4"/>
    <x v="2"/>
    <n v="8370"/>
  </r>
  <r>
    <s v="T0049"/>
    <d v="2026-07-09T00:00:00"/>
    <s v="ITM1014"/>
    <x v="0"/>
    <x v="0"/>
    <n v="98"/>
    <n v="5"/>
    <n v="161"/>
    <x v="35"/>
    <x v="1"/>
    <x v="15"/>
    <x v="3"/>
    <x v="15"/>
    <x v="1"/>
    <x v="11"/>
    <x v="2"/>
    <n v="43470"/>
  </r>
  <r>
    <s v="T0050"/>
    <d v="2026-06-17T00:00:00"/>
    <s v="ITM1016"/>
    <x v="0"/>
    <x v="0"/>
    <n v="41"/>
    <n v="13"/>
    <n v="206"/>
    <x v="4"/>
    <x v="0"/>
    <x v="21"/>
    <x v="2"/>
    <x v="21"/>
    <x v="1"/>
    <x v="4"/>
    <x v="0"/>
    <n v="50470"/>
  </r>
  <r>
    <s v="T0051"/>
    <d v="2026-06-02T00:00:00"/>
    <s v="ITM1033"/>
    <x v="2"/>
    <x v="1"/>
    <n v="71"/>
    <n v="14"/>
    <n v="82"/>
    <x v="0"/>
    <x v="0"/>
    <x v="27"/>
    <x v="0"/>
    <x v="26"/>
    <x v="0"/>
    <x v="15"/>
    <x v="1"/>
    <n v="24026"/>
  </r>
  <r>
    <s v="T0052"/>
    <d v="2026-06-05T00:00:00"/>
    <s v="ITM1008"/>
    <x v="1"/>
    <x v="2"/>
    <n v="114"/>
    <n v="43"/>
    <n v="8"/>
    <x v="36"/>
    <x v="0"/>
    <x v="23"/>
    <x v="1"/>
    <x v="21"/>
    <x v="0"/>
    <x v="13"/>
    <x v="1"/>
    <n v="1960"/>
  </r>
  <r>
    <s v="T0053"/>
    <d v="2026-06-12T00:00:00"/>
    <s v="ITM1034"/>
    <x v="0"/>
    <x v="1"/>
    <n v="20"/>
    <n v="67"/>
    <n v="211"/>
    <x v="37"/>
    <x v="0"/>
    <x v="20"/>
    <x v="1"/>
    <x v="20"/>
    <x v="0"/>
    <x v="12"/>
    <x v="2"/>
    <n v="14981"/>
  </r>
  <r>
    <s v="T0054"/>
    <d v="2026-06-25T00:00:00"/>
    <s v="ITM1011"/>
    <x v="2"/>
    <x v="0"/>
    <n v="108"/>
    <n v="19"/>
    <n v="180"/>
    <x v="27"/>
    <x v="0"/>
    <x v="16"/>
    <x v="1"/>
    <x v="16"/>
    <x v="1"/>
    <x v="4"/>
    <x v="0"/>
    <n v="69480"/>
  </r>
  <r>
    <s v="T0055"/>
    <d v="2026-06-24T00:00:00"/>
    <s v="ITM1016"/>
    <x v="2"/>
    <x v="2"/>
    <n v="83"/>
    <n v="57"/>
    <n v="109"/>
    <x v="38"/>
    <x v="0"/>
    <x v="21"/>
    <x v="2"/>
    <x v="21"/>
    <x v="1"/>
    <x v="4"/>
    <x v="0"/>
    <n v="26705"/>
  </r>
  <r>
    <s v="T0056"/>
    <d v="2026-06-14T00:00:00"/>
    <s v="ITM1039"/>
    <x v="0"/>
    <x v="2"/>
    <n v="36"/>
    <n v="24"/>
    <n v="190"/>
    <x v="11"/>
    <x v="1"/>
    <x v="1"/>
    <x v="1"/>
    <x v="1"/>
    <x v="1"/>
    <x v="1"/>
    <x v="1"/>
    <n v="77710"/>
  </r>
  <r>
    <s v="T0057"/>
    <d v="2026-06-26T00:00:00"/>
    <s v="ITM1024"/>
    <x v="1"/>
    <x v="1"/>
    <n v="100"/>
    <n v="75"/>
    <n v="76"/>
    <x v="39"/>
    <x v="0"/>
    <x v="6"/>
    <x v="0"/>
    <x v="6"/>
    <x v="2"/>
    <x v="6"/>
    <x v="2"/>
    <n v="17024"/>
  </r>
  <r>
    <s v="T0058"/>
    <d v="2026-06-14T00:00:00"/>
    <s v="ITM1015"/>
    <x v="0"/>
    <x v="1"/>
    <n v="62"/>
    <n v="22"/>
    <n v="94"/>
    <x v="23"/>
    <x v="0"/>
    <x v="5"/>
    <x v="1"/>
    <x v="5"/>
    <x v="1"/>
    <x v="5"/>
    <x v="1"/>
    <n v="38164"/>
  </r>
  <r>
    <s v="T0059"/>
    <d v="2026-07-16T00:00:00"/>
    <s v="ITM1013"/>
    <x v="2"/>
    <x v="2"/>
    <n v="65"/>
    <n v="56"/>
    <n v="194"/>
    <x v="40"/>
    <x v="1"/>
    <x v="30"/>
    <x v="0"/>
    <x v="29"/>
    <x v="2"/>
    <x v="14"/>
    <x v="1"/>
    <n v="95836"/>
  </r>
  <r>
    <s v="T0060"/>
    <d v="2026-07-04T00:00:00"/>
    <s v="ITM1035"/>
    <x v="1"/>
    <x v="2"/>
    <n v="86"/>
    <n v="42"/>
    <n v="55"/>
    <x v="26"/>
    <x v="0"/>
    <x v="31"/>
    <x v="2"/>
    <x v="30"/>
    <x v="3"/>
    <x v="5"/>
    <x v="2"/>
    <n v="16390"/>
  </r>
  <r>
    <s v="T0061"/>
    <d v="2026-07-10T00:00:00"/>
    <s v="ITM1016"/>
    <x v="0"/>
    <x v="2"/>
    <n v="28"/>
    <n v="59"/>
    <n v="152"/>
    <x v="14"/>
    <x v="0"/>
    <x v="21"/>
    <x v="2"/>
    <x v="21"/>
    <x v="1"/>
    <x v="4"/>
    <x v="0"/>
    <n v="37240"/>
  </r>
  <r>
    <s v="T0062"/>
    <d v="2026-07-16T00:00:00"/>
    <s v="ITM1027"/>
    <x v="2"/>
    <x v="2"/>
    <n v="33"/>
    <n v="76"/>
    <n v="140"/>
    <x v="41"/>
    <x v="1"/>
    <x v="32"/>
    <x v="3"/>
    <x v="22"/>
    <x v="2"/>
    <x v="16"/>
    <x v="0"/>
    <n v="48720"/>
  </r>
  <r>
    <s v="T0063"/>
    <d v="2026-06-01T00:00:00"/>
    <s v="ITM1011"/>
    <x v="2"/>
    <x v="0"/>
    <n v="98"/>
    <n v="93"/>
    <n v="53"/>
    <x v="25"/>
    <x v="1"/>
    <x v="16"/>
    <x v="1"/>
    <x v="16"/>
    <x v="1"/>
    <x v="4"/>
    <x v="0"/>
    <n v="20458"/>
  </r>
  <r>
    <s v="T0064"/>
    <d v="2026-06-16T00:00:00"/>
    <s v="ITM1014"/>
    <x v="1"/>
    <x v="0"/>
    <n v="62"/>
    <n v="92"/>
    <n v="7"/>
    <x v="42"/>
    <x v="0"/>
    <x v="15"/>
    <x v="3"/>
    <x v="15"/>
    <x v="1"/>
    <x v="11"/>
    <x v="2"/>
    <n v="1890"/>
  </r>
  <r>
    <s v="T0065"/>
    <d v="2026-06-20T00:00:00"/>
    <s v="ITM1008"/>
    <x v="1"/>
    <x v="1"/>
    <n v="40"/>
    <n v="29"/>
    <n v="240"/>
    <x v="21"/>
    <x v="0"/>
    <x v="23"/>
    <x v="1"/>
    <x v="21"/>
    <x v="0"/>
    <x v="13"/>
    <x v="1"/>
    <n v="58800"/>
  </r>
  <r>
    <s v="T0066"/>
    <d v="2026-07-12T00:00:00"/>
    <s v="ITM1039"/>
    <x v="1"/>
    <x v="2"/>
    <n v="69"/>
    <n v="40"/>
    <n v="185"/>
    <x v="38"/>
    <x v="1"/>
    <x v="1"/>
    <x v="1"/>
    <x v="1"/>
    <x v="1"/>
    <x v="1"/>
    <x v="1"/>
    <n v="75665"/>
  </r>
  <r>
    <s v="T0067"/>
    <d v="2026-06-28T00:00:00"/>
    <s v="ITM1001"/>
    <x v="2"/>
    <x v="1"/>
    <n v="53"/>
    <n v="90"/>
    <n v="78"/>
    <x v="43"/>
    <x v="0"/>
    <x v="24"/>
    <x v="2"/>
    <x v="23"/>
    <x v="3"/>
    <x v="4"/>
    <x v="1"/>
    <n v="29250"/>
  </r>
  <r>
    <s v="T0068"/>
    <d v="2026-06-14T00:00:00"/>
    <s v="ITM1023"/>
    <x v="2"/>
    <x v="2"/>
    <n v="44"/>
    <n v="38"/>
    <n v="219"/>
    <x v="31"/>
    <x v="0"/>
    <x v="22"/>
    <x v="1"/>
    <x v="22"/>
    <x v="1"/>
    <x v="1"/>
    <x v="1"/>
    <n v="76212"/>
  </r>
  <r>
    <s v="T0069"/>
    <d v="2026-06-16T00:00:00"/>
    <s v="ITM1017"/>
    <x v="2"/>
    <x v="0"/>
    <n v="68"/>
    <n v="75"/>
    <n v="9"/>
    <x v="33"/>
    <x v="0"/>
    <x v="25"/>
    <x v="2"/>
    <x v="24"/>
    <x v="0"/>
    <x v="14"/>
    <x v="1"/>
    <n v="2565"/>
  </r>
  <r>
    <s v="T0070"/>
    <d v="2026-06-03T00:00:00"/>
    <s v="ITM1035"/>
    <x v="1"/>
    <x v="0"/>
    <n v="88"/>
    <n v="100"/>
    <n v="120"/>
    <x v="12"/>
    <x v="1"/>
    <x v="31"/>
    <x v="2"/>
    <x v="30"/>
    <x v="3"/>
    <x v="5"/>
    <x v="2"/>
    <n v="35760"/>
  </r>
  <r>
    <s v="T0071"/>
    <d v="2026-06-26T00:00:00"/>
    <s v="ITM1036"/>
    <x v="1"/>
    <x v="2"/>
    <n v="28"/>
    <n v="82"/>
    <n v="96"/>
    <x v="44"/>
    <x v="1"/>
    <x v="33"/>
    <x v="0"/>
    <x v="31"/>
    <x v="1"/>
    <x v="15"/>
    <x v="2"/>
    <n v="17664"/>
  </r>
  <r>
    <s v="T0072"/>
    <d v="2026-07-13T00:00:00"/>
    <s v="ITM1040"/>
    <x v="0"/>
    <x v="2"/>
    <n v="113"/>
    <n v="51"/>
    <n v="213"/>
    <x v="28"/>
    <x v="0"/>
    <x v="4"/>
    <x v="3"/>
    <x v="4"/>
    <x v="1"/>
    <x v="4"/>
    <x v="2"/>
    <n v="38340"/>
  </r>
  <r>
    <s v="T0073"/>
    <d v="2026-07-06T00:00:00"/>
    <s v="ITM1009"/>
    <x v="1"/>
    <x v="2"/>
    <n v="4"/>
    <n v="30"/>
    <n v="114"/>
    <x v="22"/>
    <x v="0"/>
    <x v="11"/>
    <x v="3"/>
    <x v="11"/>
    <x v="2"/>
    <x v="8"/>
    <x v="1"/>
    <n v="23826"/>
  </r>
  <r>
    <s v="T0074"/>
    <d v="2026-06-02T00:00:00"/>
    <s v="ITM1012"/>
    <x v="2"/>
    <x v="0"/>
    <n v="56"/>
    <n v="2"/>
    <n v="224"/>
    <x v="15"/>
    <x v="0"/>
    <x v="8"/>
    <x v="0"/>
    <x v="8"/>
    <x v="0"/>
    <x v="5"/>
    <x v="1"/>
    <n v="81760"/>
  </r>
  <r>
    <s v="T0075"/>
    <d v="2026-06-24T00:00:00"/>
    <s v="ITM1033"/>
    <x v="1"/>
    <x v="1"/>
    <n v="99"/>
    <n v="47"/>
    <n v="143"/>
    <x v="7"/>
    <x v="0"/>
    <x v="27"/>
    <x v="0"/>
    <x v="26"/>
    <x v="0"/>
    <x v="15"/>
    <x v="1"/>
    <n v="41899"/>
  </r>
  <r>
    <s v="T0076"/>
    <d v="2026-06-30T00:00:00"/>
    <s v="ITM1016"/>
    <x v="2"/>
    <x v="0"/>
    <n v="38"/>
    <n v="36"/>
    <n v="64"/>
    <x v="45"/>
    <x v="1"/>
    <x v="21"/>
    <x v="2"/>
    <x v="21"/>
    <x v="1"/>
    <x v="4"/>
    <x v="0"/>
    <n v="15680"/>
  </r>
  <r>
    <s v="T0077"/>
    <d v="2026-06-07T00:00:00"/>
    <s v="ITM1013"/>
    <x v="0"/>
    <x v="1"/>
    <n v="30"/>
    <n v="32"/>
    <n v="67"/>
    <x v="18"/>
    <x v="0"/>
    <x v="30"/>
    <x v="0"/>
    <x v="29"/>
    <x v="2"/>
    <x v="14"/>
    <x v="1"/>
    <n v="33098"/>
  </r>
  <r>
    <s v="T0078"/>
    <d v="2026-06-08T00:00:00"/>
    <s v="ITM1022"/>
    <x v="1"/>
    <x v="1"/>
    <n v="50"/>
    <n v="57"/>
    <n v="172"/>
    <x v="17"/>
    <x v="0"/>
    <x v="29"/>
    <x v="0"/>
    <x v="28"/>
    <x v="2"/>
    <x v="6"/>
    <x v="2"/>
    <n v="72412"/>
  </r>
  <r>
    <s v="T0079"/>
    <d v="2026-06-14T00:00:00"/>
    <s v="ITM1007"/>
    <x v="1"/>
    <x v="0"/>
    <n v="106"/>
    <n v="63"/>
    <n v="182"/>
    <x v="40"/>
    <x v="0"/>
    <x v="26"/>
    <x v="1"/>
    <x v="25"/>
    <x v="2"/>
    <x v="13"/>
    <x v="1"/>
    <n v="68068"/>
  </r>
  <r>
    <s v="T0080"/>
    <d v="2026-07-01T00:00:00"/>
    <s v="ITM1022"/>
    <x v="0"/>
    <x v="1"/>
    <n v="84"/>
    <n v="99"/>
    <n v="64"/>
    <x v="46"/>
    <x v="1"/>
    <x v="29"/>
    <x v="0"/>
    <x v="28"/>
    <x v="2"/>
    <x v="6"/>
    <x v="2"/>
    <n v="26944"/>
  </r>
  <r>
    <s v="T0081"/>
    <d v="2026-07-10T00:00:00"/>
    <s v="ITM1006"/>
    <x v="1"/>
    <x v="1"/>
    <n v="31"/>
    <n v="50"/>
    <n v="129"/>
    <x v="47"/>
    <x v="1"/>
    <x v="12"/>
    <x v="1"/>
    <x v="12"/>
    <x v="1"/>
    <x v="9"/>
    <x v="0"/>
    <n v="20124"/>
  </r>
  <r>
    <s v="T0082"/>
    <d v="2026-06-19T00:00:00"/>
    <s v="ITM1009"/>
    <x v="1"/>
    <x v="1"/>
    <n v="4"/>
    <n v="8"/>
    <n v="218"/>
    <x v="4"/>
    <x v="0"/>
    <x v="11"/>
    <x v="3"/>
    <x v="11"/>
    <x v="2"/>
    <x v="8"/>
    <x v="1"/>
    <n v="45562"/>
  </r>
  <r>
    <s v="T0083"/>
    <d v="2026-07-07T00:00:00"/>
    <s v="ITM1023"/>
    <x v="1"/>
    <x v="1"/>
    <n v="47"/>
    <n v="82"/>
    <n v="215"/>
    <x v="48"/>
    <x v="0"/>
    <x v="22"/>
    <x v="1"/>
    <x v="22"/>
    <x v="1"/>
    <x v="1"/>
    <x v="1"/>
    <n v="74820"/>
  </r>
  <r>
    <s v="T0084"/>
    <d v="2026-06-06T00:00:00"/>
    <s v="ITM1015"/>
    <x v="0"/>
    <x v="1"/>
    <n v="5"/>
    <n v="29"/>
    <n v="140"/>
    <x v="12"/>
    <x v="0"/>
    <x v="5"/>
    <x v="1"/>
    <x v="5"/>
    <x v="1"/>
    <x v="5"/>
    <x v="1"/>
    <n v="56840"/>
  </r>
  <r>
    <s v="T0085"/>
    <d v="2026-06-19T00:00:00"/>
    <s v="ITM1012"/>
    <x v="2"/>
    <x v="2"/>
    <n v="3"/>
    <n v="13"/>
    <n v="136"/>
    <x v="33"/>
    <x v="1"/>
    <x v="8"/>
    <x v="0"/>
    <x v="8"/>
    <x v="0"/>
    <x v="5"/>
    <x v="1"/>
    <n v="49640"/>
  </r>
  <r>
    <s v="T0086"/>
    <d v="2026-06-21T00:00:00"/>
    <s v="ITM1023"/>
    <x v="1"/>
    <x v="2"/>
    <n v="105"/>
    <n v="54"/>
    <n v="24"/>
    <x v="16"/>
    <x v="0"/>
    <x v="22"/>
    <x v="1"/>
    <x v="22"/>
    <x v="1"/>
    <x v="1"/>
    <x v="1"/>
    <n v="8352"/>
  </r>
  <r>
    <s v="T0087"/>
    <d v="2026-06-04T00:00:00"/>
    <s v="ITM1002"/>
    <x v="0"/>
    <x v="1"/>
    <n v="71"/>
    <n v="78"/>
    <n v="159"/>
    <x v="49"/>
    <x v="1"/>
    <x v="17"/>
    <x v="0"/>
    <x v="17"/>
    <x v="3"/>
    <x v="8"/>
    <x v="2"/>
    <n v="17331"/>
  </r>
  <r>
    <s v="T0088"/>
    <d v="2026-06-23T00:00:00"/>
    <s v="ITM1029"/>
    <x v="1"/>
    <x v="0"/>
    <n v="49"/>
    <n v="38"/>
    <n v="17"/>
    <x v="29"/>
    <x v="0"/>
    <x v="34"/>
    <x v="0"/>
    <x v="32"/>
    <x v="0"/>
    <x v="17"/>
    <x v="1"/>
    <n v="1241"/>
  </r>
  <r>
    <s v="T0089"/>
    <d v="2026-06-11T00:00:00"/>
    <s v="ITM1015"/>
    <x v="1"/>
    <x v="0"/>
    <n v="46"/>
    <n v="78"/>
    <n v="193"/>
    <x v="29"/>
    <x v="0"/>
    <x v="5"/>
    <x v="1"/>
    <x v="5"/>
    <x v="1"/>
    <x v="5"/>
    <x v="1"/>
    <n v="78358"/>
  </r>
  <r>
    <s v="T0090"/>
    <d v="2026-07-02T00:00:00"/>
    <s v="ITM1002"/>
    <x v="1"/>
    <x v="0"/>
    <n v="105"/>
    <n v="99"/>
    <n v="50"/>
    <x v="26"/>
    <x v="1"/>
    <x v="17"/>
    <x v="0"/>
    <x v="17"/>
    <x v="3"/>
    <x v="8"/>
    <x v="2"/>
    <n v="5450"/>
  </r>
  <r>
    <s v="T0091"/>
    <d v="2026-06-16T00:00:00"/>
    <s v="ITM1001"/>
    <x v="2"/>
    <x v="2"/>
    <n v="46"/>
    <n v="51"/>
    <n v="57"/>
    <x v="7"/>
    <x v="1"/>
    <x v="24"/>
    <x v="2"/>
    <x v="23"/>
    <x v="3"/>
    <x v="4"/>
    <x v="1"/>
    <n v="21375"/>
  </r>
  <r>
    <s v="T0092"/>
    <d v="2026-07-04T00:00:00"/>
    <s v="ITM1039"/>
    <x v="0"/>
    <x v="1"/>
    <n v="110"/>
    <n v="31"/>
    <n v="82"/>
    <x v="18"/>
    <x v="1"/>
    <x v="1"/>
    <x v="1"/>
    <x v="1"/>
    <x v="1"/>
    <x v="1"/>
    <x v="1"/>
    <n v="33538"/>
  </r>
  <r>
    <s v="T0093"/>
    <d v="2026-07-13T00:00:00"/>
    <s v="ITM1029"/>
    <x v="2"/>
    <x v="1"/>
    <n v="81"/>
    <n v="76"/>
    <n v="103"/>
    <x v="1"/>
    <x v="1"/>
    <x v="34"/>
    <x v="0"/>
    <x v="32"/>
    <x v="0"/>
    <x v="17"/>
    <x v="1"/>
    <n v="7519"/>
  </r>
  <r>
    <s v="T0094"/>
    <d v="2026-06-13T00:00:00"/>
    <s v="ITM1036"/>
    <x v="0"/>
    <x v="1"/>
    <n v="70"/>
    <n v="92"/>
    <n v="169"/>
    <x v="24"/>
    <x v="0"/>
    <x v="33"/>
    <x v="0"/>
    <x v="31"/>
    <x v="1"/>
    <x v="15"/>
    <x v="2"/>
    <n v="31096"/>
  </r>
  <r>
    <s v="T0095"/>
    <d v="2026-06-19T00:00:00"/>
    <s v="ITM1003"/>
    <x v="1"/>
    <x v="1"/>
    <n v="41"/>
    <n v="7"/>
    <n v="157"/>
    <x v="7"/>
    <x v="0"/>
    <x v="2"/>
    <x v="1"/>
    <x v="2"/>
    <x v="0"/>
    <x v="2"/>
    <x v="0"/>
    <n v="38622"/>
  </r>
  <r>
    <s v="T0096"/>
    <d v="2026-06-30T00:00:00"/>
    <s v="ITM1038"/>
    <x v="2"/>
    <x v="2"/>
    <n v="98"/>
    <n v="98"/>
    <n v="70"/>
    <x v="50"/>
    <x v="1"/>
    <x v="35"/>
    <x v="3"/>
    <x v="33"/>
    <x v="0"/>
    <x v="10"/>
    <x v="0"/>
    <n v="21420"/>
  </r>
  <r>
    <s v="T0097"/>
    <d v="2026-07-15T00:00:00"/>
    <s v="ITM1007"/>
    <x v="2"/>
    <x v="2"/>
    <n v="40"/>
    <n v="39"/>
    <n v="12"/>
    <x v="47"/>
    <x v="1"/>
    <x v="26"/>
    <x v="1"/>
    <x v="25"/>
    <x v="2"/>
    <x v="13"/>
    <x v="1"/>
    <n v="4488"/>
  </r>
  <r>
    <s v="T0098"/>
    <d v="2026-06-10T00:00:00"/>
    <s v="ITM1024"/>
    <x v="1"/>
    <x v="0"/>
    <n v="31"/>
    <n v="0"/>
    <n v="31"/>
    <x v="42"/>
    <x v="1"/>
    <x v="6"/>
    <x v="0"/>
    <x v="6"/>
    <x v="2"/>
    <x v="6"/>
    <x v="2"/>
    <n v="6944"/>
  </r>
  <r>
    <s v="T0099"/>
    <d v="2026-06-01T00:00:00"/>
    <s v="ITM1023"/>
    <x v="0"/>
    <x v="1"/>
    <n v="73"/>
    <n v="8"/>
    <n v="66"/>
    <x v="16"/>
    <x v="1"/>
    <x v="22"/>
    <x v="1"/>
    <x v="22"/>
    <x v="1"/>
    <x v="1"/>
    <x v="1"/>
    <n v="22968"/>
  </r>
  <r>
    <s v="T0100"/>
    <d v="2026-06-21T00:00:00"/>
    <s v="ITM1038"/>
    <x v="2"/>
    <x v="1"/>
    <n v="81"/>
    <n v="46"/>
    <n v="232"/>
    <x v="51"/>
    <x v="1"/>
    <x v="35"/>
    <x v="3"/>
    <x v="33"/>
    <x v="0"/>
    <x v="10"/>
    <x v="0"/>
    <n v="70992"/>
  </r>
  <r>
    <s v="T0101"/>
    <d v="2026-06-16T00:00:00"/>
    <s v="ITM1017"/>
    <x v="2"/>
    <x v="2"/>
    <n v="42"/>
    <n v="26"/>
    <n v="105"/>
    <x v="45"/>
    <x v="1"/>
    <x v="25"/>
    <x v="2"/>
    <x v="24"/>
    <x v="0"/>
    <x v="14"/>
    <x v="1"/>
    <n v="29925"/>
  </r>
  <r>
    <s v="T0102"/>
    <d v="2026-07-03T00:00:00"/>
    <s v="ITM1022"/>
    <x v="1"/>
    <x v="1"/>
    <n v="98"/>
    <n v="48"/>
    <n v="121"/>
    <x v="28"/>
    <x v="0"/>
    <x v="29"/>
    <x v="0"/>
    <x v="28"/>
    <x v="2"/>
    <x v="6"/>
    <x v="2"/>
    <n v="50941"/>
  </r>
  <r>
    <s v="T0103"/>
    <d v="2026-06-30T00:00:00"/>
    <s v="ITM1028"/>
    <x v="2"/>
    <x v="2"/>
    <n v="78"/>
    <n v="42"/>
    <n v="68"/>
    <x v="34"/>
    <x v="1"/>
    <x v="36"/>
    <x v="3"/>
    <x v="34"/>
    <x v="1"/>
    <x v="18"/>
    <x v="1"/>
    <n v="31484"/>
  </r>
  <r>
    <s v="T0104"/>
    <d v="2026-07-01T00:00:00"/>
    <s v="ITM1004"/>
    <x v="0"/>
    <x v="2"/>
    <n v="86"/>
    <n v="8"/>
    <n v="239"/>
    <x v="47"/>
    <x v="1"/>
    <x v="14"/>
    <x v="3"/>
    <x v="14"/>
    <x v="1"/>
    <x v="10"/>
    <x v="0"/>
    <n v="39435"/>
  </r>
  <r>
    <s v="T0105"/>
    <d v="2026-06-29T00:00:00"/>
    <s v="ITM1019"/>
    <x v="2"/>
    <x v="0"/>
    <n v="79"/>
    <n v="44"/>
    <n v="140"/>
    <x v="52"/>
    <x v="1"/>
    <x v="10"/>
    <x v="3"/>
    <x v="10"/>
    <x v="1"/>
    <x v="1"/>
    <x v="0"/>
    <n v="33460"/>
  </r>
  <r>
    <s v="T0106"/>
    <d v="2026-06-07T00:00:00"/>
    <s v="ITM1026"/>
    <x v="2"/>
    <x v="1"/>
    <n v="3"/>
    <n v="62"/>
    <n v="224"/>
    <x v="10"/>
    <x v="0"/>
    <x v="3"/>
    <x v="2"/>
    <x v="3"/>
    <x v="1"/>
    <x v="3"/>
    <x v="0"/>
    <n v="73024"/>
  </r>
  <r>
    <s v="T0107"/>
    <d v="2026-06-19T00:00:00"/>
    <s v="ITM1027"/>
    <x v="0"/>
    <x v="0"/>
    <n v="49"/>
    <n v="37"/>
    <n v="226"/>
    <x v="16"/>
    <x v="1"/>
    <x v="32"/>
    <x v="3"/>
    <x v="22"/>
    <x v="2"/>
    <x v="16"/>
    <x v="0"/>
    <n v="78648"/>
  </r>
  <r>
    <s v="T0108"/>
    <d v="2026-06-14T00:00:00"/>
    <s v="ITM1021"/>
    <x v="2"/>
    <x v="2"/>
    <n v="41"/>
    <n v="85"/>
    <n v="102"/>
    <x v="53"/>
    <x v="0"/>
    <x v="0"/>
    <x v="0"/>
    <x v="0"/>
    <x v="0"/>
    <x v="0"/>
    <x v="0"/>
    <n v="31926"/>
  </r>
  <r>
    <s v="T0109"/>
    <d v="2026-06-06T00:00:00"/>
    <s v="ITM1015"/>
    <x v="2"/>
    <x v="0"/>
    <n v="45"/>
    <n v="19"/>
    <n v="125"/>
    <x v="7"/>
    <x v="0"/>
    <x v="5"/>
    <x v="1"/>
    <x v="5"/>
    <x v="1"/>
    <x v="5"/>
    <x v="1"/>
    <n v="50750"/>
  </r>
  <r>
    <s v="T0110"/>
    <d v="2026-06-05T00:00:00"/>
    <s v="ITM1036"/>
    <x v="2"/>
    <x v="2"/>
    <n v="34"/>
    <n v="18"/>
    <n v="7"/>
    <x v="46"/>
    <x v="0"/>
    <x v="33"/>
    <x v="0"/>
    <x v="31"/>
    <x v="1"/>
    <x v="15"/>
    <x v="2"/>
    <n v="1288"/>
  </r>
  <r>
    <s v="T0111"/>
    <d v="2026-07-03T00:00:00"/>
    <s v="ITM1002"/>
    <x v="0"/>
    <x v="2"/>
    <n v="92"/>
    <n v="79"/>
    <n v="220"/>
    <x v="19"/>
    <x v="1"/>
    <x v="17"/>
    <x v="0"/>
    <x v="17"/>
    <x v="3"/>
    <x v="8"/>
    <x v="2"/>
    <n v="23980"/>
  </r>
  <r>
    <s v="T0112"/>
    <d v="2026-07-10T00:00:00"/>
    <s v="ITM1027"/>
    <x v="2"/>
    <x v="1"/>
    <n v="31"/>
    <n v="47"/>
    <n v="15"/>
    <x v="0"/>
    <x v="1"/>
    <x v="32"/>
    <x v="3"/>
    <x v="22"/>
    <x v="2"/>
    <x v="16"/>
    <x v="0"/>
    <n v="5220"/>
  </r>
  <r>
    <s v="T0113"/>
    <d v="2026-06-13T00:00:00"/>
    <s v="ITM1019"/>
    <x v="1"/>
    <x v="2"/>
    <n v="69"/>
    <n v="3"/>
    <n v="146"/>
    <x v="54"/>
    <x v="0"/>
    <x v="10"/>
    <x v="3"/>
    <x v="10"/>
    <x v="1"/>
    <x v="1"/>
    <x v="0"/>
    <n v="34894"/>
  </r>
  <r>
    <s v="T0114"/>
    <d v="2026-06-24T00:00:00"/>
    <s v="ITM1017"/>
    <x v="0"/>
    <x v="1"/>
    <n v="45"/>
    <n v="40"/>
    <n v="181"/>
    <x v="55"/>
    <x v="1"/>
    <x v="25"/>
    <x v="2"/>
    <x v="24"/>
    <x v="0"/>
    <x v="14"/>
    <x v="1"/>
    <n v="51585"/>
  </r>
  <r>
    <s v="T0115"/>
    <d v="2026-06-16T00:00:00"/>
    <s v="ITM1034"/>
    <x v="2"/>
    <x v="0"/>
    <n v="86"/>
    <n v="42"/>
    <n v="142"/>
    <x v="38"/>
    <x v="1"/>
    <x v="20"/>
    <x v="1"/>
    <x v="20"/>
    <x v="0"/>
    <x v="12"/>
    <x v="2"/>
    <n v="10082"/>
  </r>
  <r>
    <s v="T0116"/>
    <d v="2026-06-22T00:00:00"/>
    <s v="ITM1028"/>
    <x v="1"/>
    <x v="2"/>
    <n v="45"/>
    <n v="35"/>
    <n v="49"/>
    <x v="33"/>
    <x v="0"/>
    <x v="36"/>
    <x v="3"/>
    <x v="34"/>
    <x v="1"/>
    <x v="18"/>
    <x v="1"/>
    <n v="22687"/>
  </r>
  <r>
    <s v="T0117"/>
    <d v="2026-06-02T00:00:00"/>
    <s v="ITM1024"/>
    <x v="1"/>
    <x v="2"/>
    <n v="32"/>
    <n v="13"/>
    <n v="249"/>
    <x v="2"/>
    <x v="1"/>
    <x v="6"/>
    <x v="0"/>
    <x v="6"/>
    <x v="2"/>
    <x v="6"/>
    <x v="2"/>
    <n v="55776"/>
  </r>
  <r>
    <s v="T0118"/>
    <d v="2026-06-04T00:00:00"/>
    <s v="ITM1037"/>
    <x v="0"/>
    <x v="1"/>
    <n v="45"/>
    <n v="58"/>
    <n v="133"/>
    <x v="49"/>
    <x v="1"/>
    <x v="19"/>
    <x v="0"/>
    <x v="19"/>
    <x v="1"/>
    <x v="4"/>
    <x v="2"/>
    <n v="24738"/>
  </r>
  <r>
    <s v="T0119"/>
    <d v="2026-06-01T00:00:00"/>
    <s v="ITM1035"/>
    <x v="2"/>
    <x v="2"/>
    <n v="43"/>
    <n v="19"/>
    <n v="41"/>
    <x v="19"/>
    <x v="1"/>
    <x v="31"/>
    <x v="2"/>
    <x v="30"/>
    <x v="3"/>
    <x v="5"/>
    <x v="2"/>
    <n v="12218"/>
  </r>
  <r>
    <s v="T0120"/>
    <d v="2026-06-12T00:00:00"/>
    <s v="ITM1009"/>
    <x v="2"/>
    <x v="1"/>
    <n v="41"/>
    <n v="6"/>
    <n v="227"/>
    <x v="29"/>
    <x v="0"/>
    <x v="11"/>
    <x v="3"/>
    <x v="11"/>
    <x v="2"/>
    <x v="8"/>
    <x v="1"/>
    <n v="47443"/>
  </r>
  <r>
    <s v="T0121"/>
    <d v="2026-06-21T00:00:00"/>
    <s v="ITM1024"/>
    <x v="2"/>
    <x v="2"/>
    <n v="1"/>
    <n v="75"/>
    <n v="92"/>
    <x v="18"/>
    <x v="1"/>
    <x v="6"/>
    <x v="0"/>
    <x v="6"/>
    <x v="2"/>
    <x v="6"/>
    <x v="2"/>
    <n v="20608"/>
  </r>
  <r>
    <s v="T0122"/>
    <d v="2026-06-16T00:00:00"/>
    <s v="ITM1040"/>
    <x v="2"/>
    <x v="2"/>
    <n v="34"/>
    <n v="33"/>
    <n v="164"/>
    <x v="12"/>
    <x v="1"/>
    <x v="4"/>
    <x v="3"/>
    <x v="4"/>
    <x v="1"/>
    <x v="4"/>
    <x v="2"/>
    <n v="29520"/>
  </r>
  <r>
    <s v="T0123"/>
    <d v="2026-06-06T00:00:00"/>
    <s v="ITM1028"/>
    <x v="0"/>
    <x v="0"/>
    <n v="34"/>
    <n v="24"/>
    <n v="147"/>
    <x v="28"/>
    <x v="0"/>
    <x v="36"/>
    <x v="3"/>
    <x v="34"/>
    <x v="1"/>
    <x v="18"/>
    <x v="1"/>
    <n v="68061"/>
  </r>
  <r>
    <s v="T0124"/>
    <d v="2026-07-04T00:00:00"/>
    <s v="ITM1021"/>
    <x v="0"/>
    <x v="1"/>
    <n v="2"/>
    <n v="14"/>
    <n v="173"/>
    <x v="37"/>
    <x v="0"/>
    <x v="0"/>
    <x v="0"/>
    <x v="0"/>
    <x v="0"/>
    <x v="0"/>
    <x v="0"/>
    <n v="54149"/>
  </r>
  <r>
    <s v="T0125"/>
    <d v="2026-07-09T00:00:00"/>
    <s v="ITM1018"/>
    <x v="1"/>
    <x v="1"/>
    <n v="86"/>
    <n v="23"/>
    <n v="150"/>
    <x v="35"/>
    <x v="1"/>
    <x v="9"/>
    <x v="2"/>
    <x v="9"/>
    <x v="1"/>
    <x v="4"/>
    <x v="0"/>
    <n v="1200"/>
  </r>
  <r>
    <s v="T0126"/>
    <d v="2026-06-12T00:00:00"/>
    <s v="ITM1019"/>
    <x v="0"/>
    <x v="2"/>
    <n v="46"/>
    <n v="12"/>
    <n v="188"/>
    <x v="26"/>
    <x v="1"/>
    <x v="10"/>
    <x v="3"/>
    <x v="10"/>
    <x v="1"/>
    <x v="1"/>
    <x v="0"/>
    <n v="44932"/>
  </r>
  <r>
    <s v="T0127"/>
    <d v="2026-06-23T00:00:00"/>
    <s v="ITM1007"/>
    <x v="1"/>
    <x v="2"/>
    <n v="107"/>
    <n v="81"/>
    <n v="76"/>
    <x v="22"/>
    <x v="0"/>
    <x v="26"/>
    <x v="1"/>
    <x v="25"/>
    <x v="2"/>
    <x v="13"/>
    <x v="1"/>
    <n v="28424"/>
  </r>
  <r>
    <s v="T0128"/>
    <d v="2026-07-08T00:00:00"/>
    <s v="ITM1017"/>
    <x v="1"/>
    <x v="2"/>
    <n v="111"/>
    <n v="87"/>
    <n v="213"/>
    <x v="51"/>
    <x v="1"/>
    <x v="25"/>
    <x v="2"/>
    <x v="24"/>
    <x v="0"/>
    <x v="14"/>
    <x v="1"/>
    <n v="60705"/>
  </r>
  <r>
    <s v="T0129"/>
    <d v="2026-07-03T00:00:00"/>
    <s v="ITM1019"/>
    <x v="1"/>
    <x v="2"/>
    <n v="32"/>
    <n v="56"/>
    <n v="205"/>
    <x v="2"/>
    <x v="0"/>
    <x v="10"/>
    <x v="3"/>
    <x v="10"/>
    <x v="1"/>
    <x v="1"/>
    <x v="0"/>
    <n v="48995"/>
  </r>
  <r>
    <s v="T0130"/>
    <d v="2026-06-26T00:00:00"/>
    <s v="ITM1003"/>
    <x v="2"/>
    <x v="1"/>
    <n v="28"/>
    <n v="0"/>
    <n v="116"/>
    <x v="18"/>
    <x v="1"/>
    <x v="2"/>
    <x v="1"/>
    <x v="2"/>
    <x v="0"/>
    <x v="2"/>
    <x v="0"/>
    <n v="28536"/>
  </r>
  <r>
    <s v="T0131"/>
    <d v="2026-06-22T00:00:00"/>
    <s v="ITM1034"/>
    <x v="1"/>
    <x v="0"/>
    <n v="47"/>
    <n v="49"/>
    <n v="71"/>
    <x v="25"/>
    <x v="0"/>
    <x v="20"/>
    <x v="1"/>
    <x v="20"/>
    <x v="0"/>
    <x v="12"/>
    <x v="2"/>
    <n v="5041"/>
  </r>
  <r>
    <s v="T0132"/>
    <d v="2026-06-06T00:00:00"/>
    <s v="ITM1035"/>
    <x v="0"/>
    <x v="0"/>
    <n v="3"/>
    <n v="0"/>
    <n v="47"/>
    <x v="12"/>
    <x v="1"/>
    <x v="31"/>
    <x v="2"/>
    <x v="30"/>
    <x v="3"/>
    <x v="5"/>
    <x v="2"/>
    <n v="14006"/>
  </r>
  <r>
    <s v="T0133"/>
    <d v="2026-06-30T00:00:00"/>
    <s v="ITM1010"/>
    <x v="0"/>
    <x v="0"/>
    <n v="19"/>
    <n v="28"/>
    <n v="21"/>
    <x v="7"/>
    <x v="1"/>
    <x v="7"/>
    <x v="0"/>
    <x v="7"/>
    <x v="1"/>
    <x v="7"/>
    <x v="2"/>
    <n v="1890"/>
  </r>
  <r>
    <s v="T0134"/>
    <d v="2026-06-08T00:00:00"/>
    <s v="ITM1027"/>
    <x v="2"/>
    <x v="0"/>
    <n v="21"/>
    <n v="69"/>
    <n v="230"/>
    <x v="54"/>
    <x v="0"/>
    <x v="32"/>
    <x v="3"/>
    <x v="22"/>
    <x v="2"/>
    <x v="16"/>
    <x v="0"/>
    <n v="80040"/>
  </r>
  <r>
    <s v="T0135"/>
    <d v="2026-06-24T00:00:00"/>
    <s v="ITM1018"/>
    <x v="2"/>
    <x v="1"/>
    <n v="80"/>
    <n v="28"/>
    <n v="101"/>
    <x v="48"/>
    <x v="0"/>
    <x v="9"/>
    <x v="2"/>
    <x v="9"/>
    <x v="1"/>
    <x v="4"/>
    <x v="0"/>
    <n v="808"/>
  </r>
  <r>
    <s v="T0136"/>
    <d v="2026-06-01T00:00:00"/>
    <s v="ITM1006"/>
    <x v="2"/>
    <x v="0"/>
    <n v="3"/>
    <n v="99"/>
    <n v="148"/>
    <x v="28"/>
    <x v="0"/>
    <x v="12"/>
    <x v="1"/>
    <x v="12"/>
    <x v="1"/>
    <x v="9"/>
    <x v="0"/>
    <n v="23088"/>
  </r>
  <r>
    <s v="T0137"/>
    <d v="2026-06-23T00:00:00"/>
    <s v="ITM1019"/>
    <x v="0"/>
    <x v="0"/>
    <n v="3"/>
    <n v="10"/>
    <n v="135"/>
    <x v="7"/>
    <x v="1"/>
    <x v="10"/>
    <x v="3"/>
    <x v="10"/>
    <x v="1"/>
    <x v="1"/>
    <x v="0"/>
    <n v="32265"/>
  </r>
  <r>
    <s v="T0138"/>
    <d v="2026-06-13T00:00:00"/>
    <s v="ITM1001"/>
    <x v="2"/>
    <x v="0"/>
    <n v="78"/>
    <n v="90"/>
    <n v="151"/>
    <x v="18"/>
    <x v="0"/>
    <x v="24"/>
    <x v="2"/>
    <x v="23"/>
    <x v="3"/>
    <x v="4"/>
    <x v="1"/>
    <n v="56625"/>
  </r>
  <r>
    <s v="T0139"/>
    <d v="2026-06-16T00:00:00"/>
    <s v="ITM1022"/>
    <x v="0"/>
    <x v="1"/>
    <n v="117"/>
    <n v="81"/>
    <n v="248"/>
    <x v="56"/>
    <x v="1"/>
    <x v="29"/>
    <x v="0"/>
    <x v="28"/>
    <x v="2"/>
    <x v="6"/>
    <x v="2"/>
    <n v="104408"/>
  </r>
  <r>
    <s v="T0140"/>
    <d v="2026-06-20T00:00:00"/>
    <s v="ITM1006"/>
    <x v="2"/>
    <x v="1"/>
    <n v="7"/>
    <n v="72"/>
    <n v="193"/>
    <x v="57"/>
    <x v="1"/>
    <x v="12"/>
    <x v="1"/>
    <x v="12"/>
    <x v="1"/>
    <x v="9"/>
    <x v="0"/>
    <n v="30108"/>
  </r>
  <r>
    <s v="T0141"/>
    <d v="2026-07-02T00:00:00"/>
    <s v="ITM1010"/>
    <x v="0"/>
    <x v="0"/>
    <n v="46"/>
    <n v="65"/>
    <n v="180"/>
    <x v="49"/>
    <x v="1"/>
    <x v="7"/>
    <x v="0"/>
    <x v="7"/>
    <x v="1"/>
    <x v="7"/>
    <x v="2"/>
    <n v="16200"/>
  </r>
  <r>
    <s v="T0142"/>
    <d v="2026-06-10T00:00:00"/>
    <s v="ITM1004"/>
    <x v="2"/>
    <x v="0"/>
    <n v="46"/>
    <n v="78"/>
    <n v="65"/>
    <x v="58"/>
    <x v="1"/>
    <x v="14"/>
    <x v="3"/>
    <x v="14"/>
    <x v="1"/>
    <x v="10"/>
    <x v="0"/>
    <n v="10725"/>
  </r>
  <r>
    <s v="T0143"/>
    <d v="2026-07-15T00:00:00"/>
    <s v="ITM1016"/>
    <x v="1"/>
    <x v="2"/>
    <n v="12"/>
    <n v="82"/>
    <n v="242"/>
    <x v="7"/>
    <x v="0"/>
    <x v="21"/>
    <x v="2"/>
    <x v="21"/>
    <x v="1"/>
    <x v="4"/>
    <x v="0"/>
    <n v="59290"/>
  </r>
  <r>
    <s v="T0144"/>
    <d v="2026-06-07T00:00:00"/>
    <s v="ITM1008"/>
    <x v="1"/>
    <x v="1"/>
    <n v="93"/>
    <n v="43"/>
    <n v="135"/>
    <x v="15"/>
    <x v="0"/>
    <x v="23"/>
    <x v="1"/>
    <x v="21"/>
    <x v="0"/>
    <x v="13"/>
    <x v="1"/>
    <n v="33075"/>
  </r>
  <r>
    <s v="T0145"/>
    <d v="2026-06-14T00:00:00"/>
    <s v="ITM1022"/>
    <x v="0"/>
    <x v="2"/>
    <n v="64"/>
    <n v="6"/>
    <n v="78"/>
    <x v="49"/>
    <x v="1"/>
    <x v="29"/>
    <x v="0"/>
    <x v="28"/>
    <x v="2"/>
    <x v="6"/>
    <x v="2"/>
    <n v="32838"/>
  </r>
  <r>
    <s v="T0146"/>
    <d v="2026-06-22T00:00:00"/>
    <s v="ITM1016"/>
    <x v="2"/>
    <x v="2"/>
    <n v="41"/>
    <n v="44"/>
    <n v="145"/>
    <x v="29"/>
    <x v="1"/>
    <x v="21"/>
    <x v="2"/>
    <x v="21"/>
    <x v="1"/>
    <x v="4"/>
    <x v="0"/>
    <n v="35525"/>
  </r>
  <r>
    <s v="T0147"/>
    <d v="2026-07-08T00:00:00"/>
    <s v="ITM1037"/>
    <x v="1"/>
    <x v="1"/>
    <n v="118"/>
    <n v="10"/>
    <n v="199"/>
    <x v="27"/>
    <x v="0"/>
    <x v="19"/>
    <x v="0"/>
    <x v="19"/>
    <x v="1"/>
    <x v="4"/>
    <x v="2"/>
    <n v="37014"/>
  </r>
  <r>
    <s v="T0148"/>
    <d v="2026-06-11T00:00:00"/>
    <s v="ITM1004"/>
    <x v="2"/>
    <x v="1"/>
    <n v="96"/>
    <n v="83"/>
    <n v="162"/>
    <x v="7"/>
    <x v="1"/>
    <x v="14"/>
    <x v="3"/>
    <x v="14"/>
    <x v="1"/>
    <x v="10"/>
    <x v="0"/>
    <n v="26730"/>
  </r>
  <r>
    <s v="T0149"/>
    <d v="2026-06-27T00:00:00"/>
    <s v="ITM1011"/>
    <x v="2"/>
    <x v="0"/>
    <n v="43"/>
    <n v="23"/>
    <n v="130"/>
    <x v="56"/>
    <x v="1"/>
    <x v="16"/>
    <x v="1"/>
    <x v="16"/>
    <x v="1"/>
    <x v="4"/>
    <x v="0"/>
    <n v="50180"/>
  </r>
  <r>
    <s v="T0150"/>
    <d v="2026-06-26T00:00:00"/>
    <s v="ITM1019"/>
    <x v="2"/>
    <x v="2"/>
    <n v="47"/>
    <n v="21"/>
    <n v="45"/>
    <x v="59"/>
    <x v="0"/>
    <x v="10"/>
    <x v="3"/>
    <x v="10"/>
    <x v="1"/>
    <x v="1"/>
    <x v="0"/>
    <n v="10755"/>
  </r>
  <r>
    <s v="T0151"/>
    <d v="2026-07-13T00:00:00"/>
    <s v="ITM1014"/>
    <x v="0"/>
    <x v="2"/>
    <n v="97"/>
    <n v="32"/>
    <n v="208"/>
    <x v="55"/>
    <x v="0"/>
    <x v="15"/>
    <x v="3"/>
    <x v="15"/>
    <x v="1"/>
    <x v="11"/>
    <x v="2"/>
    <n v="56160"/>
  </r>
  <r>
    <s v="T0152"/>
    <d v="2026-07-02T00:00:00"/>
    <s v="ITM1013"/>
    <x v="2"/>
    <x v="0"/>
    <n v="89"/>
    <n v="37"/>
    <n v="164"/>
    <x v="19"/>
    <x v="1"/>
    <x v="30"/>
    <x v="0"/>
    <x v="29"/>
    <x v="2"/>
    <x v="14"/>
    <x v="1"/>
    <n v="81016"/>
  </r>
  <r>
    <s v="T0153"/>
    <d v="2026-06-19T00:00:00"/>
    <s v="ITM1004"/>
    <x v="2"/>
    <x v="1"/>
    <n v="25"/>
    <n v="15"/>
    <n v="123"/>
    <x v="56"/>
    <x v="1"/>
    <x v="14"/>
    <x v="3"/>
    <x v="14"/>
    <x v="1"/>
    <x v="10"/>
    <x v="0"/>
    <n v="20295"/>
  </r>
  <r>
    <s v="T0154"/>
    <d v="2026-06-18T00:00:00"/>
    <s v="ITM1040"/>
    <x v="2"/>
    <x v="2"/>
    <n v="104"/>
    <n v="47"/>
    <n v="212"/>
    <x v="30"/>
    <x v="1"/>
    <x v="4"/>
    <x v="3"/>
    <x v="4"/>
    <x v="1"/>
    <x v="4"/>
    <x v="2"/>
    <n v="38160"/>
  </r>
  <r>
    <s v="T0155"/>
    <d v="2026-07-05T00:00:00"/>
    <s v="ITM1033"/>
    <x v="0"/>
    <x v="2"/>
    <n v="86"/>
    <n v="10"/>
    <n v="117"/>
    <x v="41"/>
    <x v="1"/>
    <x v="27"/>
    <x v="0"/>
    <x v="26"/>
    <x v="0"/>
    <x v="15"/>
    <x v="1"/>
    <n v="34281"/>
  </r>
  <r>
    <s v="T0156"/>
    <d v="2026-06-15T00:00:00"/>
    <s v="ITM1032"/>
    <x v="0"/>
    <x v="0"/>
    <n v="96"/>
    <n v="19"/>
    <n v="189"/>
    <x v="46"/>
    <x v="1"/>
    <x v="18"/>
    <x v="0"/>
    <x v="18"/>
    <x v="3"/>
    <x v="10"/>
    <x v="0"/>
    <n v="53298"/>
  </r>
  <r>
    <s v="T0157"/>
    <d v="2026-06-25T00:00:00"/>
    <s v="ITM1010"/>
    <x v="1"/>
    <x v="1"/>
    <n v="72"/>
    <n v="0"/>
    <n v="81"/>
    <x v="58"/>
    <x v="1"/>
    <x v="7"/>
    <x v="0"/>
    <x v="7"/>
    <x v="1"/>
    <x v="7"/>
    <x v="2"/>
    <n v="7290"/>
  </r>
  <r>
    <s v="T0158"/>
    <d v="2026-06-15T00:00:00"/>
    <s v="ITM1037"/>
    <x v="0"/>
    <x v="1"/>
    <n v="32"/>
    <n v="41"/>
    <n v="38"/>
    <x v="27"/>
    <x v="0"/>
    <x v="19"/>
    <x v="0"/>
    <x v="19"/>
    <x v="1"/>
    <x v="4"/>
    <x v="2"/>
    <n v="7068"/>
  </r>
  <r>
    <s v="T0159"/>
    <d v="2026-07-04T00:00:00"/>
    <s v="ITM1002"/>
    <x v="0"/>
    <x v="0"/>
    <n v="76"/>
    <n v="54"/>
    <n v="46"/>
    <x v="15"/>
    <x v="1"/>
    <x v="17"/>
    <x v="0"/>
    <x v="17"/>
    <x v="3"/>
    <x v="8"/>
    <x v="2"/>
    <n v="5014"/>
  </r>
  <r>
    <s v="T0160"/>
    <d v="2026-06-25T00:00:00"/>
    <s v="ITM1031"/>
    <x v="1"/>
    <x v="2"/>
    <n v="57"/>
    <n v="8"/>
    <n v="187"/>
    <x v="26"/>
    <x v="0"/>
    <x v="13"/>
    <x v="3"/>
    <x v="13"/>
    <x v="1"/>
    <x v="8"/>
    <x v="1"/>
    <n v="86394"/>
  </r>
  <r>
    <s v="T0161"/>
    <d v="2026-06-03T00:00:00"/>
    <s v="ITM1013"/>
    <x v="1"/>
    <x v="2"/>
    <n v="13"/>
    <n v="58"/>
    <n v="39"/>
    <x v="17"/>
    <x v="0"/>
    <x v="30"/>
    <x v="0"/>
    <x v="29"/>
    <x v="2"/>
    <x v="14"/>
    <x v="1"/>
    <n v="19266"/>
  </r>
  <r>
    <s v="T0162"/>
    <d v="2026-06-23T00:00:00"/>
    <s v="ITM1012"/>
    <x v="0"/>
    <x v="1"/>
    <n v="102"/>
    <n v="67"/>
    <n v="134"/>
    <x v="39"/>
    <x v="1"/>
    <x v="8"/>
    <x v="0"/>
    <x v="8"/>
    <x v="0"/>
    <x v="5"/>
    <x v="1"/>
    <n v="48910"/>
  </r>
  <r>
    <s v="T0163"/>
    <d v="2026-06-27T00:00:00"/>
    <s v="ITM1011"/>
    <x v="0"/>
    <x v="0"/>
    <n v="70"/>
    <n v="38"/>
    <n v="249"/>
    <x v="0"/>
    <x v="0"/>
    <x v="16"/>
    <x v="1"/>
    <x v="16"/>
    <x v="1"/>
    <x v="4"/>
    <x v="0"/>
    <n v="96114"/>
  </r>
  <r>
    <s v="T0164"/>
    <d v="2026-07-14T00:00:00"/>
    <s v="ITM1029"/>
    <x v="2"/>
    <x v="1"/>
    <n v="103"/>
    <n v="42"/>
    <n v="124"/>
    <x v="21"/>
    <x v="0"/>
    <x v="34"/>
    <x v="0"/>
    <x v="32"/>
    <x v="0"/>
    <x v="17"/>
    <x v="1"/>
    <n v="9052"/>
  </r>
  <r>
    <s v="T0165"/>
    <d v="2026-07-15T00:00:00"/>
    <s v="ITM1030"/>
    <x v="2"/>
    <x v="2"/>
    <n v="24"/>
    <n v="58"/>
    <n v="103"/>
    <x v="57"/>
    <x v="1"/>
    <x v="28"/>
    <x v="0"/>
    <x v="27"/>
    <x v="3"/>
    <x v="3"/>
    <x v="0"/>
    <n v="19570"/>
  </r>
  <r>
    <s v="T0166"/>
    <d v="2026-06-04T00:00:00"/>
    <s v="ITM1009"/>
    <x v="2"/>
    <x v="0"/>
    <n v="64"/>
    <n v="64"/>
    <n v="104"/>
    <x v="22"/>
    <x v="1"/>
    <x v="11"/>
    <x v="3"/>
    <x v="11"/>
    <x v="2"/>
    <x v="8"/>
    <x v="1"/>
    <n v="21736"/>
  </r>
  <r>
    <s v="T0167"/>
    <d v="2026-06-22T00:00:00"/>
    <s v="ITM1037"/>
    <x v="1"/>
    <x v="0"/>
    <n v="56"/>
    <n v="44"/>
    <n v="7"/>
    <x v="52"/>
    <x v="0"/>
    <x v="19"/>
    <x v="0"/>
    <x v="19"/>
    <x v="1"/>
    <x v="4"/>
    <x v="2"/>
    <n v="1302"/>
  </r>
  <r>
    <s v="T0168"/>
    <d v="2026-07-16T00:00:00"/>
    <s v="ITM1020"/>
    <x v="1"/>
    <x v="1"/>
    <n v="81"/>
    <n v="95"/>
    <n v="54"/>
    <x v="45"/>
    <x v="0"/>
    <x v="37"/>
    <x v="3"/>
    <x v="35"/>
    <x v="0"/>
    <x v="10"/>
    <x v="0"/>
    <n v="8154"/>
  </r>
  <r>
    <s v="T0169"/>
    <d v="2026-06-03T00:00:00"/>
    <s v="ITM1030"/>
    <x v="0"/>
    <x v="2"/>
    <n v="47"/>
    <n v="86"/>
    <n v="59"/>
    <x v="3"/>
    <x v="0"/>
    <x v="28"/>
    <x v="0"/>
    <x v="27"/>
    <x v="3"/>
    <x v="3"/>
    <x v="0"/>
    <n v="11210"/>
  </r>
  <r>
    <s v="T0170"/>
    <d v="2026-06-28T00:00:00"/>
    <s v="ITM1034"/>
    <x v="2"/>
    <x v="0"/>
    <n v="61"/>
    <n v="24"/>
    <n v="12"/>
    <x v="39"/>
    <x v="0"/>
    <x v="20"/>
    <x v="1"/>
    <x v="20"/>
    <x v="0"/>
    <x v="12"/>
    <x v="2"/>
    <n v="852"/>
  </r>
  <r>
    <s v="T0171"/>
    <d v="2026-06-20T00:00:00"/>
    <s v="ITM1039"/>
    <x v="1"/>
    <x v="1"/>
    <n v="27"/>
    <n v="8"/>
    <n v="92"/>
    <x v="60"/>
    <x v="1"/>
    <x v="1"/>
    <x v="1"/>
    <x v="1"/>
    <x v="1"/>
    <x v="1"/>
    <x v="1"/>
    <n v="37628"/>
  </r>
  <r>
    <s v="T0172"/>
    <d v="2026-06-21T00:00:00"/>
    <s v="ITM1029"/>
    <x v="2"/>
    <x v="2"/>
    <n v="55"/>
    <n v="54"/>
    <n v="161"/>
    <x v="51"/>
    <x v="0"/>
    <x v="34"/>
    <x v="0"/>
    <x v="32"/>
    <x v="0"/>
    <x v="17"/>
    <x v="1"/>
    <n v="11753"/>
  </r>
  <r>
    <s v="T0173"/>
    <d v="2026-07-16T00:00:00"/>
    <s v="ITM1007"/>
    <x v="0"/>
    <x v="1"/>
    <n v="3"/>
    <n v="69"/>
    <n v="125"/>
    <x v="13"/>
    <x v="0"/>
    <x v="26"/>
    <x v="1"/>
    <x v="25"/>
    <x v="2"/>
    <x v="13"/>
    <x v="1"/>
    <n v="46750"/>
  </r>
  <r>
    <s v="T0174"/>
    <d v="2026-07-12T00:00:00"/>
    <s v="ITM1015"/>
    <x v="0"/>
    <x v="1"/>
    <n v="0"/>
    <n v="31"/>
    <n v="75"/>
    <x v="42"/>
    <x v="1"/>
    <x v="5"/>
    <x v="1"/>
    <x v="5"/>
    <x v="1"/>
    <x v="5"/>
    <x v="1"/>
    <n v="30450"/>
  </r>
  <r>
    <s v="T0175"/>
    <d v="2026-06-16T00:00:00"/>
    <s v="ITM1003"/>
    <x v="2"/>
    <x v="2"/>
    <n v="21"/>
    <n v="18"/>
    <n v="74"/>
    <x v="32"/>
    <x v="0"/>
    <x v="2"/>
    <x v="1"/>
    <x v="2"/>
    <x v="0"/>
    <x v="2"/>
    <x v="0"/>
    <n v="18204"/>
  </r>
  <r>
    <s v="T0176"/>
    <d v="2026-07-10T00:00:00"/>
    <s v="ITM1012"/>
    <x v="0"/>
    <x v="0"/>
    <n v="58"/>
    <n v="57"/>
    <n v="100"/>
    <x v="24"/>
    <x v="1"/>
    <x v="8"/>
    <x v="0"/>
    <x v="8"/>
    <x v="0"/>
    <x v="5"/>
    <x v="1"/>
    <n v="36500"/>
  </r>
  <r>
    <s v="T0177"/>
    <d v="2026-06-21T00:00:00"/>
    <s v="ITM1035"/>
    <x v="0"/>
    <x v="0"/>
    <n v="68"/>
    <n v="28"/>
    <n v="130"/>
    <x v="38"/>
    <x v="1"/>
    <x v="31"/>
    <x v="2"/>
    <x v="30"/>
    <x v="3"/>
    <x v="5"/>
    <x v="2"/>
    <n v="38740"/>
  </r>
  <r>
    <s v="T0178"/>
    <d v="2026-06-05T00:00:00"/>
    <s v="ITM1021"/>
    <x v="1"/>
    <x v="2"/>
    <n v="111"/>
    <n v="12"/>
    <n v="223"/>
    <x v="18"/>
    <x v="0"/>
    <x v="0"/>
    <x v="0"/>
    <x v="0"/>
    <x v="0"/>
    <x v="0"/>
    <x v="0"/>
    <n v="69799"/>
  </r>
  <r>
    <s v="T0179"/>
    <d v="2026-07-13T00:00:00"/>
    <s v="ITM1015"/>
    <x v="1"/>
    <x v="2"/>
    <n v="2"/>
    <n v="22"/>
    <n v="177"/>
    <x v="40"/>
    <x v="0"/>
    <x v="5"/>
    <x v="1"/>
    <x v="5"/>
    <x v="1"/>
    <x v="5"/>
    <x v="1"/>
    <n v="71862"/>
  </r>
  <r>
    <s v="T0180"/>
    <d v="2026-06-08T00:00:00"/>
    <s v="ITM1026"/>
    <x v="0"/>
    <x v="0"/>
    <n v="114"/>
    <n v="59"/>
    <n v="28"/>
    <x v="46"/>
    <x v="1"/>
    <x v="3"/>
    <x v="2"/>
    <x v="3"/>
    <x v="1"/>
    <x v="3"/>
    <x v="0"/>
    <n v="9128"/>
  </r>
  <r>
    <s v="T0181"/>
    <d v="2026-06-18T00:00:00"/>
    <s v="ITM1006"/>
    <x v="1"/>
    <x v="0"/>
    <n v="32"/>
    <n v="93"/>
    <n v="240"/>
    <x v="55"/>
    <x v="1"/>
    <x v="12"/>
    <x v="1"/>
    <x v="12"/>
    <x v="1"/>
    <x v="9"/>
    <x v="0"/>
    <n v="37440"/>
  </r>
  <r>
    <s v="T0182"/>
    <d v="2026-07-02T00:00:00"/>
    <s v="ITM1016"/>
    <x v="2"/>
    <x v="2"/>
    <n v="32"/>
    <n v="10"/>
    <n v="125"/>
    <x v="47"/>
    <x v="1"/>
    <x v="21"/>
    <x v="2"/>
    <x v="21"/>
    <x v="1"/>
    <x v="4"/>
    <x v="0"/>
    <n v="30625"/>
  </r>
  <r>
    <s v="T0183"/>
    <d v="2026-06-20T00:00:00"/>
    <s v="ITM1037"/>
    <x v="0"/>
    <x v="2"/>
    <n v="2"/>
    <n v="21"/>
    <n v="46"/>
    <x v="18"/>
    <x v="0"/>
    <x v="19"/>
    <x v="0"/>
    <x v="19"/>
    <x v="1"/>
    <x v="4"/>
    <x v="2"/>
    <n v="8556"/>
  </r>
  <r>
    <s v="T0184"/>
    <d v="2026-07-10T00:00:00"/>
    <s v="ITM1016"/>
    <x v="0"/>
    <x v="0"/>
    <n v="41"/>
    <n v="50"/>
    <n v="192"/>
    <x v="2"/>
    <x v="1"/>
    <x v="21"/>
    <x v="2"/>
    <x v="21"/>
    <x v="1"/>
    <x v="4"/>
    <x v="0"/>
    <n v="47040"/>
  </r>
  <r>
    <s v="T0185"/>
    <d v="2026-06-05T00:00:00"/>
    <s v="ITM1012"/>
    <x v="0"/>
    <x v="1"/>
    <n v="10"/>
    <n v="73"/>
    <n v="156"/>
    <x v="38"/>
    <x v="0"/>
    <x v="8"/>
    <x v="0"/>
    <x v="8"/>
    <x v="0"/>
    <x v="5"/>
    <x v="1"/>
    <n v="56940"/>
  </r>
  <r>
    <s v="T0186"/>
    <d v="2026-07-09T00:00:00"/>
    <s v="ITM1040"/>
    <x v="0"/>
    <x v="0"/>
    <n v="113"/>
    <n v="32"/>
    <n v="28"/>
    <x v="10"/>
    <x v="1"/>
    <x v="4"/>
    <x v="3"/>
    <x v="4"/>
    <x v="1"/>
    <x v="4"/>
    <x v="2"/>
    <n v="5040"/>
  </r>
  <r>
    <s v="T0187"/>
    <d v="2026-06-18T00:00:00"/>
    <s v="ITM1031"/>
    <x v="2"/>
    <x v="0"/>
    <n v="27"/>
    <n v="43"/>
    <n v="78"/>
    <x v="28"/>
    <x v="0"/>
    <x v="13"/>
    <x v="3"/>
    <x v="13"/>
    <x v="1"/>
    <x v="8"/>
    <x v="1"/>
    <n v="36036"/>
  </r>
  <r>
    <s v="T0188"/>
    <d v="2026-07-12T00:00:00"/>
    <s v="ITM1008"/>
    <x v="1"/>
    <x v="0"/>
    <n v="99"/>
    <n v="58"/>
    <n v="184"/>
    <x v="46"/>
    <x v="1"/>
    <x v="23"/>
    <x v="1"/>
    <x v="21"/>
    <x v="0"/>
    <x v="13"/>
    <x v="1"/>
    <n v="45080"/>
  </r>
  <r>
    <s v="T0189"/>
    <d v="2026-07-02T00:00:00"/>
    <s v="ITM1027"/>
    <x v="2"/>
    <x v="2"/>
    <n v="60"/>
    <n v="54"/>
    <n v="10"/>
    <x v="6"/>
    <x v="0"/>
    <x v="32"/>
    <x v="3"/>
    <x v="22"/>
    <x v="2"/>
    <x v="16"/>
    <x v="0"/>
    <n v="3480"/>
  </r>
  <r>
    <s v="T0190"/>
    <d v="2026-07-12T00:00:00"/>
    <s v="ITM1001"/>
    <x v="0"/>
    <x v="1"/>
    <n v="12"/>
    <n v="56"/>
    <n v="43"/>
    <x v="41"/>
    <x v="0"/>
    <x v="24"/>
    <x v="2"/>
    <x v="23"/>
    <x v="3"/>
    <x v="4"/>
    <x v="1"/>
    <n v="16125"/>
  </r>
  <r>
    <s v="T0191"/>
    <d v="2026-07-01T00:00:00"/>
    <s v="ITM1033"/>
    <x v="2"/>
    <x v="2"/>
    <n v="115"/>
    <n v="69"/>
    <n v="147"/>
    <x v="59"/>
    <x v="1"/>
    <x v="27"/>
    <x v="0"/>
    <x v="26"/>
    <x v="0"/>
    <x v="15"/>
    <x v="1"/>
    <n v="43071"/>
  </r>
  <r>
    <s v="T0192"/>
    <d v="2026-07-07T00:00:00"/>
    <s v="ITM1005"/>
    <x v="2"/>
    <x v="2"/>
    <n v="14"/>
    <n v="42"/>
    <n v="150"/>
    <x v="19"/>
    <x v="1"/>
    <x v="38"/>
    <x v="3"/>
    <x v="36"/>
    <x v="0"/>
    <x v="6"/>
    <x v="1"/>
    <n v="71400"/>
  </r>
  <r>
    <s v="T0193"/>
    <d v="2026-06-26T00:00:00"/>
    <s v="ITM1017"/>
    <x v="1"/>
    <x v="0"/>
    <n v="107"/>
    <n v="81"/>
    <n v="210"/>
    <x v="14"/>
    <x v="1"/>
    <x v="25"/>
    <x v="2"/>
    <x v="24"/>
    <x v="0"/>
    <x v="14"/>
    <x v="1"/>
    <n v="59850"/>
  </r>
  <r>
    <s v="T0194"/>
    <d v="2026-07-02T00:00:00"/>
    <s v="ITM1038"/>
    <x v="0"/>
    <x v="0"/>
    <n v="101"/>
    <n v="41"/>
    <n v="63"/>
    <x v="23"/>
    <x v="0"/>
    <x v="35"/>
    <x v="3"/>
    <x v="33"/>
    <x v="0"/>
    <x v="10"/>
    <x v="0"/>
    <n v="19278"/>
  </r>
  <r>
    <s v="T0195"/>
    <d v="2026-06-26T00:00:00"/>
    <s v="ITM1031"/>
    <x v="0"/>
    <x v="2"/>
    <n v="43"/>
    <n v="26"/>
    <n v="114"/>
    <x v="36"/>
    <x v="1"/>
    <x v="13"/>
    <x v="3"/>
    <x v="13"/>
    <x v="1"/>
    <x v="8"/>
    <x v="1"/>
    <n v="52668"/>
  </r>
  <r>
    <s v="T0196"/>
    <d v="2026-07-03T00:00:00"/>
    <s v="ITM1014"/>
    <x v="0"/>
    <x v="2"/>
    <n v="84"/>
    <n v="17"/>
    <n v="111"/>
    <x v="25"/>
    <x v="1"/>
    <x v="15"/>
    <x v="3"/>
    <x v="15"/>
    <x v="1"/>
    <x v="11"/>
    <x v="2"/>
    <n v="29970"/>
  </r>
  <r>
    <s v="T0197"/>
    <d v="2026-07-06T00:00:00"/>
    <s v="ITM1033"/>
    <x v="0"/>
    <x v="0"/>
    <n v="18"/>
    <n v="72"/>
    <n v="226"/>
    <x v="51"/>
    <x v="1"/>
    <x v="27"/>
    <x v="0"/>
    <x v="26"/>
    <x v="0"/>
    <x v="15"/>
    <x v="1"/>
    <n v="66218"/>
  </r>
  <r>
    <s v="T0198"/>
    <d v="2026-07-09T00:00:00"/>
    <s v="ITM1039"/>
    <x v="0"/>
    <x v="0"/>
    <n v="113"/>
    <n v="23"/>
    <n v="123"/>
    <x v="20"/>
    <x v="1"/>
    <x v="1"/>
    <x v="1"/>
    <x v="1"/>
    <x v="1"/>
    <x v="1"/>
    <x v="1"/>
    <n v="50307"/>
  </r>
  <r>
    <s v="T0199"/>
    <d v="2026-06-21T00:00:00"/>
    <s v="ITM1037"/>
    <x v="2"/>
    <x v="2"/>
    <n v="44"/>
    <n v="29"/>
    <n v="159"/>
    <x v="47"/>
    <x v="1"/>
    <x v="19"/>
    <x v="0"/>
    <x v="19"/>
    <x v="1"/>
    <x v="4"/>
    <x v="2"/>
    <n v="29574"/>
  </r>
  <r>
    <s v="T0200"/>
    <d v="2026-06-26T00:00:00"/>
    <s v="ITM1007"/>
    <x v="2"/>
    <x v="2"/>
    <n v="18"/>
    <n v="88"/>
    <n v="21"/>
    <x v="46"/>
    <x v="1"/>
    <x v="26"/>
    <x v="1"/>
    <x v="25"/>
    <x v="2"/>
    <x v="13"/>
    <x v="1"/>
    <n v="78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8BDF1E-5AE4-429C-8FB9-CFB4E925DFD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7" firstHeaderRow="1" firstDataRow="1" firstDataCol="1"/>
  <pivotFields count="17">
    <pivotField showAll="0"/>
    <pivotField numFmtId="164"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numFmtId="165" showAll="0"/>
    <pivotField showAll="0"/>
    <pivotField showAll="0"/>
    <pivotField showAll="0"/>
    <pivotField dataField="1" numFmtId="165" showAll="0"/>
  </pivotFields>
  <rowFields count="1">
    <field x="3"/>
  </rowFields>
  <rowItems count="4">
    <i>
      <x/>
    </i>
    <i>
      <x v="1"/>
    </i>
    <i>
      <x v="2"/>
    </i>
    <i t="grand">
      <x/>
    </i>
  </rowItems>
  <colItems count="1">
    <i/>
  </colItems>
  <dataFields count="1">
    <dataField name="Sum of Inventory Value (Currency)" fld="16" baseField="0" baseItem="0" numFmtId="165"/>
  </dataFields>
  <formats count="8">
    <format dxfId="145">
      <pivotArea type="all" dataOnly="0" outline="0" fieldPosition="0"/>
    </format>
    <format dxfId="144">
      <pivotArea outline="0" collapsedLevelsAreSubtotals="1" fieldPosition="0"/>
    </format>
    <format dxfId="143">
      <pivotArea field="3" type="button" dataOnly="0" labelOnly="1" outline="0" axis="axisRow" fieldPosition="0"/>
    </format>
    <format dxfId="142">
      <pivotArea dataOnly="0" labelOnly="1" fieldPosition="0">
        <references count="1">
          <reference field="3" count="0"/>
        </references>
      </pivotArea>
    </format>
    <format dxfId="141">
      <pivotArea dataOnly="0" labelOnly="1" grandRow="1" outline="0" fieldPosition="0"/>
    </format>
    <format dxfId="140">
      <pivotArea dataOnly="0" labelOnly="1" outline="0" axis="axisValues" fieldPosition="0"/>
    </format>
    <format dxfId="139">
      <pivotArea outline="0" collapsedLevelsAreSubtotals="1" fieldPosition="0"/>
    </format>
    <format dxfId="138">
      <pivotArea dataOnly="0" labelOnly="1" fieldPosition="0">
        <references count="1">
          <reference field="3" count="1">
            <x v="0"/>
          </reference>
        </references>
      </pivotArea>
    </format>
  </formats>
  <conditionalFormats count="1">
    <conditionalFormat priority="1">
      <pivotAreas count="1">
        <pivotArea type="data" collapsedLevelsAreSubtotals="1" fieldPosition="0">
          <references count="2">
            <reference field="4294967294" count="1" selected="0">
              <x v="0"/>
            </reference>
            <reference field="3" count="3">
              <x v="0"/>
              <x v="1"/>
              <x v="2"/>
            </reference>
          </references>
        </pivotArea>
      </pivotAreas>
    </conditionalFormat>
  </conditionalFormats>
  <chartFormats count="18">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3" count="1" selected="0">
            <x v="0"/>
          </reference>
        </references>
      </pivotArea>
    </chartFormat>
    <chartFormat chart="14" format="7">
      <pivotArea type="data" outline="0" fieldPosition="0">
        <references count="2">
          <reference field="4294967294" count="1" selected="0">
            <x v="0"/>
          </reference>
          <reference field="3" count="1" selected="0">
            <x v="1"/>
          </reference>
        </references>
      </pivotArea>
    </chartFormat>
    <chartFormat chart="14" format="8">
      <pivotArea type="data" outline="0" fieldPosition="0">
        <references count="2">
          <reference field="4294967294" count="1" selected="0">
            <x v="0"/>
          </reference>
          <reference field="3" count="1" selected="0">
            <x v="2"/>
          </reference>
        </references>
      </pivotArea>
    </chartFormat>
    <chartFormat chart="15" format="1" series="1">
      <pivotArea type="data" outline="0" fieldPosition="0">
        <references count="1">
          <reference field="4294967294" count="1" selected="0">
            <x v="0"/>
          </reference>
        </references>
      </pivotArea>
    </chartFormat>
    <chartFormat chart="15" format="2">
      <pivotArea type="data" outline="0" fieldPosition="0">
        <references count="2">
          <reference field="4294967294" count="1" selected="0">
            <x v="0"/>
          </reference>
          <reference field="3" count="1" selected="0">
            <x v="0"/>
          </reference>
        </references>
      </pivotArea>
    </chartFormat>
    <chartFormat chart="15" format="3">
      <pivotArea type="data" outline="0" fieldPosition="0">
        <references count="2">
          <reference field="4294967294" count="1" selected="0">
            <x v="0"/>
          </reference>
          <reference field="3" count="1" selected="0">
            <x v="1"/>
          </reference>
        </references>
      </pivotArea>
    </chartFormat>
    <chartFormat chart="15" format="4">
      <pivotArea type="data" outline="0" fieldPosition="0">
        <references count="2">
          <reference field="4294967294" count="1" selected="0">
            <x v="0"/>
          </reference>
          <reference field="3" count="1" selected="0">
            <x v="2"/>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3" count="1" selected="0">
            <x v="0"/>
          </reference>
        </references>
      </pivotArea>
    </chartFormat>
    <chartFormat chart="17" format="7">
      <pivotArea type="data" outline="0" fieldPosition="0">
        <references count="2">
          <reference field="4294967294" count="1" selected="0">
            <x v="0"/>
          </reference>
          <reference field="3" count="1" selected="0">
            <x v="1"/>
          </reference>
        </references>
      </pivotArea>
    </chartFormat>
    <chartFormat chart="17" format="8">
      <pivotArea type="data" outline="0" fieldPosition="0">
        <references count="2">
          <reference field="4294967294" count="1" selected="0">
            <x v="0"/>
          </reference>
          <reference field="3" count="1" selected="0">
            <x v="2"/>
          </reference>
        </references>
      </pivotArea>
    </chartFormat>
    <chartFormat chart="11" format="1">
      <pivotArea type="data" outline="0" fieldPosition="0">
        <references count="2">
          <reference field="4294967294" count="1" selected="0">
            <x v="0"/>
          </reference>
          <reference field="3" count="1" selected="0">
            <x v="0"/>
          </reference>
        </references>
      </pivotArea>
    </chartFormat>
    <chartFormat chart="11" format="2">
      <pivotArea type="data" outline="0" fieldPosition="0">
        <references count="2">
          <reference field="4294967294" count="1" selected="0">
            <x v="0"/>
          </reference>
          <reference field="3" count="1" selected="0">
            <x v="1"/>
          </reference>
        </references>
      </pivotArea>
    </chartFormat>
    <chartFormat chart="11"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EB7B00-B401-4981-A06D-4BE5AD50ADF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7">
    <pivotField showAll="0"/>
    <pivotField numFmtId="164" showAll="0"/>
    <pivotField showAll="0"/>
    <pivotField showAll="0"/>
    <pivotField showAll="0"/>
    <pivotField showAll="0"/>
    <pivotField showAll="0"/>
    <pivotField showAll="0"/>
    <pivotField showAll="0"/>
    <pivotField showAll="0"/>
    <pivotField showAll="0"/>
    <pivotField axis="axisRow" showAll="0">
      <items count="5">
        <item x="1"/>
        <item x="3"/>
        <item x="0"/>
        <item x="2"/>
        <item t="default"/>
      </items>
    </pivotField>
    <pivotField numFmtId="165" showAll="0"/>
    <pivotField showAll="0"/>
    <pivotField showAll="0"/>
    <pivotField showAll="0"/>
    <pivotField dataField="1" numFmtId="165" showAll="0"/>
  </pivotFields>
  <rowFields count="1">
    <field x="11"/>
  </rowFields>
  <rowItems count="5">
    <i>
      <x/>
    </i>
    <i>
      <x v="1"/>
    </i>
    <i>
      <x v="2"/>
    </i>
    <i>
      <x v="3"/>
    </i>
    <i t="grand">
      <x/>
    </i>
  </rowItems>
  <colItems count="1">
    <i/>
  </colItems>
  <dataFields count="1">
    <dataField name="Sum of Inventory Value (Currency)" fld="16" baseField="0" baseItem="0" numFmtId="165"/>
  </dataFields>
  <formats count="8">
    <format dxfId="136">
      <pivotArea type="all" dataOnly="0" outline="0" fieldPosition="0"/>
    </format>
    <format dxfId="135">
      <pivotArea outline="0" collapsedLevelsAreSubtotals="1" fieldPosition="0"/>
    </format>
    <format dxfId="134">
      <pivotArea field="11" type="button" dataOnly="0" labelOnly="1" outline="0" axis="axisRow" fieldPosition="0"/>
    </format>
    <format dxfId="133">
      <pivotArea dataOnly="0" labelOnly="1" fieldPosition="0">
        <references count="1">
          <reference field="11" count="0"/>
        </references>
      </pivotArea>
    </format>
    <format dxfId="132">
      <pivotArea dataOnly="0" labelOnly="1" grandRow="1" outline="0" fieldPosition="0"/>
    </format>
    <format dxfId="131">
      <pivotArea dataOnly="0" labelOnly="1" outline="0" axis="axisValues" fieldPosition="0"/>
    </format>
    <format dxfId="130">
      <pivotArea outline="0" collapsedLevelsAreSubtotals="1" fieldPosition="0"/>
    </format>
    <format dxfId="129">
      <pivotArea dataOnly="0" fieldPosition="0">
        <references count="1">
          <reference field="11" count="1">
            <x v="2"/>
          </reference>
        </references>
      </pivotArea>
    </format>
  </formats>
  <conditionalFormats count="1">
    <conditionalFormat priority="1">
      <pivotAreas count="1">
        <pivotArea type="data" collapsedLevelsAreSubtotals="1" fieldPosition="0">
          <references count="2">
            <reference field="4294967294" count="1" selected="0">
              <x v="0"/>
            </reference>
            <reference field="11" count="4">
              <x v="0"/>
              <x v="1"/>
              <x v="2"/>
              <x v="3"/>
            </reference>
          </references>
        </pivotArea>
      </pivotAreas>
    </conditionalFormat>
  </conditionalFormat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1" count="1" selected="0">
            <x v="0"/>
          </reference>
        </references>
      </pivotArea>
    </chartFormat>
    <chartFormat chart="2" format="2">
      <pivotArea type="data" outline="0" fieldPosition="0">
        <references count="2">
          <reference field="4294967294" count="1" selected="0">
            <x v="0"/>
          </reference>
          <reference field="11" count="1" selected="0">
            <x v="1"/>
          </reference>
        </references>
      </pivotArea>
    </chartFormat>
    <chartFormat chart="2" format="3">
      <pivotArea type="data" outline="0" fieldPosition="0">
        <references count="2">
          <reference field="4294967294" count="1" selected="0">
            <x v="0"/>
          </reference>
          <reference field="11" count="1" selected="0">
            <x v="2"/>
          </reference>
        </references>
      </pivotArea>
    </chartFormat>
    <chartFormat chart="2" format="4">
      <pivotArea type="data" outline="0" fieldPosition="0">
        <references count="2">
          <reference field="4294967294" count="1" selected="0">
            <x v="0"/>
          </reference>
          <reference field="11"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1" count="1" selected="0">
            <x v="0"/>
          </reference>
        </references>
      </pivotArea>
    </chartFormat>
    <chartFormat chart="5" format="12">
      <pivotArea type="data" outline="0" fieldPosition="0">
        <references count="2">
          <reference field="4294967294" count="1" selected="0">
            <x v="0"/>
          </reference>
          <reference field="11" count="1" selected="0">
            <x v="1"/>
          </reference>
        </references>
      </pivotArea>
    </chartFormat>
    <chartFormat chart="5" format="13">
      <pivotArea type="data" outline="0" fieldPosition="0">
        <references count="2">
          <reference field="4294967294" count="1" selected="0">
            <x v="0"/>
          </reference>
          <reference field="11" count="1" selected="0">
            <x v="2"/>
          </reference>
        </references>
      </pivotArea>
    </chartFormat>
    <chartFormat chart="5" format="1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9CAC19-796E-448F-AE21-0D1B4AC4752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3" firstHeaderRow="1" firstDataRow="1" firstDataCol="1"/>
  <pivotFields count="17">
    <pivotField showAll="0"/>
    <pivotField numFmtId="164" showAll="0"/>
    <pivotField showAll="0"/>
    <pivotField showAll="0"/>
    <pivotField showAll="0"/>
    <pivotField showAll="0"/>
    <pivotField showAll="0"/>
    <pivotField showAll="0"/>
    <pivotField showAll="0"/>
    <pivotField showAll="0"/>
    <pivotField axis="axisRow" showAll="0" sortType="descending">
      <items count="40">
        <item x="24"/>
        <item x="7"/>
        <item x="16"/>
        <item x="8"/>
        <item x="30"/>
        <item x="15"/>
        <item x="5"/>
        <item x="21"/>
        <item x="25"/>
        <item x="9"/>
        <item x="10"/>
        <item x="17"/>
        <item x="37"/>
        <item x="0"/>
        <item x="29"/>
        <item x="22"/>
        <item x="6"/>
        <item x="3"/>
        <item x="32"/>
        <item x="36"/>
        <item x="34"/>
        <item x="2"/>
        <item x="28"/>
        <item x="13"/>
        <item x="18"/>
        <item x="27"/>
        <item x="20"/>
        <item x="31"/>
        <item x="33"/>
        <item x="19"/>
        <item x="35"/>
        <item x="1"/>
        <item x="14"/>
        <item x="4"/>
        <item x="38"/>
        <item x="12"/>
        <item x="26"/>
        <item x="23"/>
        <item x="11"/>
        <item t="default"/>
      </items>
      <autoSortScope>
        <pivotArea dataOnly="0" outline="0" fieldPosition="0">
          <references count="1">
            <reference field="4294967294" count="1" selected="0">
              <x v="0"/>
            </reference>
          </references>
        </pivotArea>
      </autoSortScope>
    </pivotField>
    <pivotField showAll="0"/>
    <pivotField dataField="1" numFmtId="165" showAll="0">
      <items count="38">
        <item x="9"/>
        <item x="20"/>
        <item x="32"/>
        <item x="7"/>
        <item x="17"/>
        <item x="35"/>
        <item x="12"/>
        <item x="14"/>
        <item x="4"/>
        <item x="31"/>
        <item x="19"/>
        <item x="27"/>
        <item x="11"/>
        <item x="6"/>
        <item x="10"/>
        <item x="21"/>
        <item x="2"/>
        <item x="15"/>
        <item x="18"/>
        <item x="24"/>
        <item x="26"/>
        <item x="30"/>
        <item x="33"/>
        <item x="0"/>
        <item x="3"/>
        <item x="22"/>
        <item x="8"/>
        <item x="25"/>
        <item x="23"/>
        <item x="16"/>
        <item x="5"/>
        <item x="1"/>
        <item x="28"/>
        <item x="13"/>
        <item x="34"/>
        <item x="36"/>
        <item x="29"/>
        <item t="default"/>
      </items>
    </pivotField>
    <pivotField showAll="0"/>
    <pivotField showAll="0"/>
    <pivotField showAll="0"/>
    <pivotField numFmtId="165" showAll="0"/>
  </pivotFields>
  <rowFields count="1">
    <field x="10"/>
  </rowFields>
  <rowItems count="40">
    <i>
      <x v="4"/>
    </i>
    <i>
      <x v="34"/>
    </i>
    <i>
      <x v="19"/>
    </i>
    <i>
      <x v="23"/>
    </i>
    <i>
      <x v="14"/>
    </i>
    <i>
      <x v="31"/>
    </i>
    <i>
      <x v="6"/>
    </i>
    <i>
      <x v="2"/>
    </i>
    <i>
      <x/>
    </i>
    <i>
      <x v="36"/>
    </i>
    <i>
      <x v="3"/>
    </i>
    <i>
      <x v="15"/>
    </i>
    <i>
      <x v="18"/>
    </i>
    <i>
      <x v="17"/>
    </i>
    <i>
      <x v="13"/>
    </i>
    <i>
      <x v="30"/>
    </i>
    <i>
      <x v="27"/>
    </i>
    <i>
      <x v="25"/>
    </i>
    <i>
      <x v="8"/>
    </i>
    <i>
      <x v="24"/>
    </i>
    <i>
      <x v="5"/>
    </i>
    <i>
      <x v="21"/>
    </i>
    <i>
      <x v="37"/>
    </i>
    <i>
      <x v="7"/>
    </i>
    <i>
      <x v="10"/>
    </i>
    <i>
      <x v="16"/>
    </i>
    <i>
      <x v="38"/>
    </i>
    <i>
      <x v="22"/>
    </i>
    <i>
      <x v="29"/>
    </i>
    <i>
      <x v="28"/>
    </i>
    <i>
      <x v="33"/>
    </i>
    <i>
      <x v="32"/>
    </i>
    <i>
      <x v="35"/>
    </i>
    <i>
      <x v="12"/>
    </i>
    <i>
      <x v="11"/>
    </i>
    <i>
      <x v="1"/>
    </i>
    <i>
      <x v="20"/>
    </i>
    <i>
      <x v="26"/>
    </i>
    <i>
      <x v="9"/>
    </i>
    <i t="grand">
      <x/>
    </i>
  </rowItems>
  <colItems count="1">
    <i/>
  </colItems>
  <dataFields count="1">
    <dataField name="Min of Unit Cost (Currency)" fld="12" subtotal="min" baseField="10" baseItem="0"/>
  </dataFields>
  <formats count="19">
    <format dxfId="123">
      <pivotArea type="all" dataOnly="0" outline="0" fieldPosition="0"/>
    </format>
    <format dxfId="122">
      <pivotArea outline="0" collapsedLevelsAreSubtotals="1" fieldPosition="0"/>
    </format>
    <format dxfId="121">
      <pivotArea field="10" type="button" dataOnly="0" labelOnly="1" outline="0" axis="axisRow" fieldPosition="0"/>
    </format>
    <format dxfId="120">
      <pivotArea dataOnly="0" labelOnly="1" fieldPosition="0">
        <references count="1">
          <reference field="10" count="0"/>
        </references>
      </pivotArea>
    </format>
    <format dxfId="119">
      <pivotArea dataOnly="0" labelOnly="1" grandRow="1" outline="0" fieldPosition="0"/>
    </format>
    <format dxfId="118">
      <pivotArea dataOnly="0" labelOnly="1" outline="0" axis="axisValues" fieldPosition="0"/>
    </format>
    <format dxfId="117">
      <pivotArea type="all" dataOnly="0" outline="0" fieldPosition="0"/>
    </format>
    <format dxfId="116">
      <pivotArea outline="0" collapsedLevelsAreSubtotals="1" fieldPosition="0"/>
    </format>
    <format dxfId="115">
      <pivotArea field="10" type="button" dataOnly="0" labelOnly="1" outline="0" axis="axisRow" fieldPosition="0"/>
    </format>
    <format dxfId="114">
      <pivotArea dataOnly="0" labelOnly="1" fieldPosition="0">
        <references count="1">
          <reference field="10" count="0"/>
        </references>
      </pivotArea>
    </format>
    <format dxfId="113">
      <pivotArea dataOnly="0" labelOnly="1" grandRow="1" outline="0" fieldPosition="0"/>
    </format>
    <format dxfId="112">
      <pivotArea dataOnly="0" labelOnly="1" outline="0" axis="axisValues" fieldPosition="0"/>
    </format>
    <format dxfId="111">
      <pivotArea type="all" dataOnly="0" outline="0" fieldPosition="0"/>
    </format>
    <format dxfId="110">
      <pivotArea outline="0" collapsedLevelsAreSubtotals="1" fieldPosition="0"/>
    </format>
    <format dxfId="109">
      <pivotArea field="10" type="button" dataOnly="0" labelOnly="1" outline="0" axis="axisRow" fieldPosition="0"/>
    </format>
    <format dxfId="108">
      <pivotArea dataOnly="0" labelOnly="1" fieldPosition="0">
        <references count="1">
          <reference field="10" count="0"/>
        </references>
      </pivotArea>
    </format>
    <format dxfId="107">
      <pivotArea dataOnly="0" labelOnly="1" grandRow="1" outline="0" fieldPosition="0"/>
    </format>
    <format dxfId="106">
      <pivotArea dataOnly="0" labelOnly="1" outline="0" axis="axisValues" fieldPosition="0"/>
    </format>
    <format dxfId="105">
      <pivotArea dataOnly="0" fieldPosition="0">
        <references count="1">
          <reference field="10" count="7">
            <x v="4"/>
            <x v="6"/>
            <x v="14"/>
            <x v="19"/>
            <x v="23"/>
            <x v="31"/>
            <x v="34"/>
          </reference>
        </references>
      </pivotArea>
    </format>
  </formats>
  <conditionalFormats count="4">
    <conditionalFormat priority="1">
      <pivotAreas count="1">
        <pivotArea type="data" collapsedLevelsAreSubtotals="1" fieldPosition="0">
          <references count="2">
            <reference field="4294967294" count="1" selected="0">
              <x v="0"/>
            </reference>
            <reference field="10" count="39">
              <x v="0"/>
              <x v="1"/>
              <x v="2"/>
              <x v="3"/>
              <x v="4"/>
              <x v="5"/>
              <x v="6"/>
              <x v="7"/>
              <x v="8"/>
              <x v="9"/>
              <x v="10"/>
              <x v="11"/>
              <x v="12"/>
              <x v="13"/>
              <x v="14"/>
              <x v="15"/>
              <x v="16"/>
              <x v="17"/>
              <x v="18"/>
              <x v="19"/>
              <x v="20"/>
              <x v="21"/>
              <x v="22"/>
              <x v="23"/>
              <x v="24"/>
              <x v="25"/>
              <x v="26"/>
              <x v="27"/>
              <x v="28"/>
              <x v="29"/>
              <x v="30"/>
              <x v="31"/>
              <x v="32"/>
              <x v="33"/>
              <x v="34"/>
              <x v="35"/>
              <x v="36"/>
              <x v="37"/>
              <x v="38"/>
            </reference>
          </references>
        </pivotArea>
      </pivotAreas>
    </conditionalFormat>
    <conditionalFormat priority="2">
      <pivotAreas count="1">
        <pivotArea type="data" collapsedLevelsAreSubtotals="1" fieldPosition="0">
          <references count="2">
            <reference field="4294967294" count="1" selected="0">
              <x v="0"/>
            </reference>
            <reference field="10" count="39">
              <x v="0"/>
              <x v="1"/>
              <x v="2"/>
              <x v="3"/>
              <x v="4"/>
              <x v="5"/>
              <x v="6"/>
              <x v="7"/>
              <x v="8"/>
              <x v="9"/>
              <x v="10"/>
              <x v="11"/>
              <x v="12"/>
              <x v="13"/>
              <x v="14"/>
              <x v="15"/>
              <x v="16"/>
              <x v="17"/>
              <x v="18"/>
              <x v="19"/>
              <x v="20"/>
              <x v="21"/>
              <x v="22"/>
              <x v="23"/>
              <x v="24"/>
              <x v="25"/>
              <x v="26"/>
              <x v="27"/>
              <x v="28"/>
              <x v="29"/>
              <x v="30"/>
              <x v="31"/>
              <x v="32"/>
              <x v="33"/>
              <x v="34"/>
              <x v="35"/>
              <x v="36"/>
              <x v="37"/>
              <x v="38"/>
            </reference>
          </references>
        </pivotArea>
      </pivotAreas>
    </conditionalFormat>
    <conditionalFormat priority="4">
      <pivotAreas count="1">
        <pivotArea type="data" collapsedLevelsAreSubtotals="1" fieldPosition="0">
          <references count="2">
            <reference field="4294967294" count="1" selected="0">
              <x v="0"/>
            </reference>
            <reference field="10" count="39">
              <x v="0"/>
              <x v="1"/>
              <x v="2"/>
              <x v="3"/>
              <x v="4"/>
              <x v="5"/>
              <x v="6"/>
              <x v="7"/>
              <x v="8"/>
              <x v="9"/>
              <x v="10"/>
              <x v="11"/>
              <x v="12"/>
              <x v="13"/>
              <x v="14"/>
              <x v="15"/>
              <x v="16"/>
              <x v="17"/>
              <x v="18"/>
              <x v="19"/>
              <x v="20"/>
              <x v="21"/>
              <x v="22"/>
              <x v="23"/>
              <x v="24"/>
              <x v="25"/>
              <x v="26"/>
              <x v="27"/>
              <x v="28"/>
              <x v="29"/>
              <x v="30"/>
              <x v="31"/>
              <x v="32"/>
              <x v="33"/>
              <x v="34"/>
              <x v="35"/>
              <x v="36"/>
              <x v="37"/>
              <x v="38"/>
            </reference>
          </references>
        </pivotArea>
      </pivotAreas>
    </conditionalFormat>
    <conditionalFormat priority="5">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5E5E07-6895-44BB-95AD-4E68F40AED6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42" firstHeaderRow="0" firstDataRow="1" firstDataCol="1"/>
  <pivotFields count="17">
    <pivotField showAll="0"/>
    <pivotField numFmtId="164" showAll="0"/>
    <pivotField showAll="0"/>
    <pivotField axis="axisRow" showAll="0">
      <items count="4">
        <item x="0"/>
        <item x="2"/>
        <item x="1"/>
        <item t="default"/>
      </items>
    </pivotField>
    <pivotField showAll="0"/>
    <pivotField showAll="0"/>
    <pivotField showAll="0"/>
    <pivotField dataField="1" showAll="0"/>
    <pivotField dataField="1" showAll="0"/>
    <pivotField showAll="0"/>
    <pivotField axis="axisRow" showAll="0">
      <items count="40">
        <item x="24"/>
        <item x="7"/>
        <item x="16"/>
        <item x="8"/>
        <item x="30"/>
        <item x="15"/>
        <item x="5"/>
        <item x="21"/>
        <item x="25"/>
        <item x="9"/>
        <item x="10"/>
        <item x="17"/>
        <item x="37"/>
        <item x="0"/>
        <item x="29"/>
        <item x="22"/>
        <item x="6"/>
        <item x="3"/>
        <item x="32"/>
        <item x="36"/>
        <item x="34"/>
        <item x="2"/>
        <item x="28"/>
        <item x="13"/>
        <item x="18"/>
        <item x="27"/>
        <item x="20"/>
        <item x="31"/>
        <item x="33"/>
        <item x="19"/>
        <item x="35"/>
        <item x="1"/>
        <item x="14"/>
        <item x="4"/>
        <item x="38"/>
        <item x="12"/>
        <item x="26"/>
        <item x="23"/>
        <item x="11"/>
        <item t="default"/>
      </items>
    </pivotField>
    <pivotField showAll="0"/>
    <pivotField numFmtId="165" showAll="0"/>
    <pivotField showAll="0"/>
    <pivotField showAll="0"/>
    <pivotField showAll="0"/>
    <pivotField numFmtId="165" showAll="0"/>
  </pivotFields>
  <rowFields count="2">
    <field x="10"/>
    <field x="3"/>
  </rowFields>
  <rowItems count="139">
    <i>
      <x/>
    </i>
    <i r="1">
      <x/>
    </i>
    <i r="1">
      <x v="1"/>
    </i>
    <i>
      <x v="1"/>
    </i>
    <i r="1">
      <x/>
    </i>
    <i r="1">
      <x v="2"/>
    </i>
    <i>
      <x v="2"/>
    </i>
    <i r="1">
      <x/>
    </i>
    <i r="1">
      <x v="1"/>
    </i>
    <i r="1">
      <x v="2"/>
    </i>
    <i>
      <x v="3"/>
    </i>
    <i r="1">
      <x/>
    </i>
    <i r="1">
      <x v="1"/>
    </i>
    <i>
      <x v="4"/>
    </i>
    <i r="1">
      <x/>
    </i>
    <i r="1">
      <x v="1"/>
    </i>
    <i r="1">
      <x v="2"/>
    </i>
    <i>
      <x v="5"/>
    </i>
    <i r="1">
      <x/>
    </i>
    <i r="1">
      <x v="1"/>
    </i>
    <i r="1">
      <x v="2"/>
    </i>
    <i>
      <x v="6"/>
    </i>
    <i r="1">
      <x/>
    </i>
    <i r="1">
      <x v="1"/>
    </i>
    <i r="1">
      <x v="2"/>
    </i>
    <i>
      <x v="7"/>
    </i>
    <i r="1">
      <x/>
    </i>
    <i r="1">
      <x v="1"/>
    </i>
    <i r="1">
      <x v="2"/>
    </i>
    <i>
      <x v="8"/>
    </i>
    <i r="1">
      <x/>
    </i>
    <i r="1">
      <x v="1"/>
    </i>
    <i r="1">
      <x v="2"/>
    </i>
    <i>
      <x v="9"/>
    </i>
    <i r="1">
      <x v="1"/>
    </i>
    <i r="1">
      <x v="2"/>
    </i>
    <i>
      <x v="10"/>
    </i>
    <i r="1">
      <x/>
    </i>
    <i r="1">
      <x v="1"/>
    </i>
    <i r="1">
      <x v="2"/>
    </i>
    <i>
      <x v="11"/>
    </i>
    <i r="1">
      <x/>
    </i>
    <i r="1">
      <x v="1"/>
    </i>
    <i r="1">
      <x v="2"/>
    </i>
    <i>
      <x v="12"/>
    </i>
    <i r="1">
      <x v="2"/>
    </i>
    <i>
      <x v="13"/>
    </i>
    <i r="1">
      <x/>
    </i>
    <i r="1">
      <x v="1"/>
    </i>
    <i r="1">
      <x v="2"/>
    </i>
    <i>
      <x v="14"/>
    </i>
    <i r="1">
      <x/>
    </i>
    <i r="1">
      <x v="2"/>
    </i>
    <i>
      <x v="15"/>
    </i>
    <i r="1">
      <x/>
    </i>
    <i r="1">
      <x v="1"/>
    </i>
    <i r="1">
      <x v="2"/>
    </i>
    <i>
      <x v="16"/>
    </i>
    <i r="1">
      <x/>
    </i>
    <i r="1">
      <x v="1"/>
    </i>
    <i r="1">
      <x v="2"/>
    </i>
    <i>
      <x v="17"/>
    </i>
    <i r="1">
      <x/>
    </i>
    <i r="1">
      <x v="1"/>
    </i>
    <i r="1">
      <x v="2"/>
    </i>
    <i>
      <x v="18"/>
    </i>
    <i r="1">
      <x/>
    </i>
    <i r="1">
      <x v="1"/>
    </i>
    <i>
      <x v="19"/>
    </i>
    <i r="1">
      <x/>
    </i>
    <i r="1">
      <x v="1"/>
    </i>
    <i r="1">
      <x v="2"/>
    </i>
    <i>
      <x v="20"/>
    </i>
    <i r="1">
      <x v="1"/>
    </i>
    <i r="1">
      <x v="2"/>
    </i>
    <i>
      <x v="21"/>
    </i>
    <i r="1">
      <x/>
    </i>
    <i r="1">
      <x v="1"/>
    </i>
    <i r="1">
      <x v="2"/>
    </i>
    <i>
      <x v="22"/>
    </i>
    <i r="1">
      <x/>
    </i>
    <i r="1">
      <x v="1"/>
    </i>
    <i>
      <x v="23"/>
    </i>
    <i r="1">
      <x/>
    </i>
    <i r="1">
      <x v="1"/>
    </i>
    <i r="1">
      <x v="2"/>
    </i>
    <i>
      <x v="24"/>
    </i>
    <i r="1">
      <x/>
    </i>
    <i r="1">
      <x v="1"/>
    </i>
    <i r="1">
      <x v="2"/>
    </i>
    <i>
      <x v="25"/>
    </i>
    <i r="1">
      <x/>
    </i>
    <i r="1">
      <x v="1"/>
    </i>
    <i r="1">
      <x v="2"/>
    </i>
    <i>
      <x v="26"/>
    </i>
    <i r="1">
      <x/>
    </i>
    <i r="1">
      <x v="1"/>
    </i>
    <i r="1">
      <x v="2"/>
    </i>
    <i>
      <x v="27"/>
    </i>
    <i r="1">
      <x/>
    </i>
    <i r="1">
      <x v="1"/>
    </i>
    <i r="1">
      <x v="2"/>
    </i>
    <i>
      <x v="28"/>
    </i>
    <i r="1">
      <x/>
    </i>
    <i r="1">
      <x v="1"/>
    </i>
    <i r="1">
      <x v="2"/>
    </i>
    <i>
      <x v="29"/>
    </i>
    <i r="1">
      <x/>
    </i>
    <i r="1">
      <x v="1"/>
    </i>
    <i r="1">
      <x v="2"/>
    </i>
    <i>
      <x v="30"/>
    </i>
    <i r="1">
      <x/>
    </i>
    <i r="1">
      <x v="1"/>
    </i>
    <i>
      <x v="31"/>
    </i>
    <i r="1">
      <x/>
    </i>
    <i r="1">
      <x v="2"/>
    </i>
    <i>
      <x v="32"/>
    </i>
    <i r="1">
      <x/>
    </i>
    <i r="1">
      <x v="1"/>
    </i>
    <i>
      <x v="33"/>
    </i>
    <i r="1">
      <x/>
    </i>
    <i r="1">
      <x v="1"/>
    </i>
    <i>
      <x v="34"/>
    </i>
    <i r="1">
      <x v="1"/>
    </i>
    <i>
      <x v="35"/>
    </i>
    <i r="1">
      <x/>
    </i>
    <i r="1">
      <x v="1"/>
    </i>
    <i r="1">
      <x v="2"/>
    </i>
    <i>
      <x v="36"/>
    </i>
    <i r="1">
      <x/>
    </i>
    <i r="1">
      <x v="1"/>
    </i>
    <i r="1">
      <x v="2"/>
    </i>
    <i>
      <x v="37"/>
    </i>
    <i r="1">
      <x v="1"/>
    </i>
    <i r="1">
      <x v="2"/>
    </i>
    <i>
      <x v="38"/>
    </i>
    <i r="1">
      <x v="1"/>
    </i>
    <i r="1">
      <x v="2"/>
    </i>
    <i t="grand">
      <x/>
    </i>
  </rowItems>
  <colFields count="1">
    <field x="-2"/>
  </colFields>
  <colItems count="2">
    <i>
      <x/>
    </i>
    <i i="1">
      <x v="1"/>
    </i>
  </colItems>
  <dataFields count="2">
    <dataField name="Sum of Current Stock" fld="7" baseField="0" baseItem="0"/>
    <dataField name="Sum of Reorder Level" fld="8" baseField="0" baseItem="0"/>
  </dataFields>
  <formats count="30">
    <format dxfId="104">
      <pivotArea type="all" dataOnly="0" outline="0" fieldPosition="0"/>
    </format>
    <format dxfId="103">
      <pivotArea outline="0" collapsedLevelsAreSubtotals="1" fieldPosition="0"/>
    </format>
    <format dxfId="102">
      <pivotArea field="10" type="button" dataOnly="0" labelOnly="1" outline="0" axis="axisRow" fieldPosition="0"/>
    </format>
    <format dxfId="101">
      <pivotArea dataOnly="0" labelOnly="1" fieldPosition="0">
        <references count="1">
          <reference field="10" count="0"/>
        </references>
      </pivotArea>
    </format>
    <format dxfId="100">
      <pivotArea dataOnly="0" labelOnly="1" grandRow="1" outline="0" fieldPosition="0"/>
    </format>
    <format dxfId="99">
      <pivotArea dataOnly="0" labelOnly="1" outline="0" fieldPosition="0">
        <references count="1">
          <reference field="4294967294" count="2">
            <x v="0"/>
            <x v="1"/>
          </reference>
        </references>
      </pivotArea>
    </format>
    <format dxfId="98">
      <pivotArea field="10" type="button" dataOnly="0" labelOnly="1" outline="0" axis="axisRow" fieldPosition="0"/>
    </format>
    <format dxfId="97">
      <pivotArea dataOnly="0" labelOnly="1" outline="0" fieldPosition="0">
        <references count="1">
          <reference field="4294967294" count="2">
            <x v="0"/>
            <x v="1"/>
          </reference>
        </references>
      </pivotArea>
    </format>
    <format dxfId="96">
      <pivotArea field="10" type="button" dataOnly="0" labelOnly="1" outline="0" axis="axisRow" fieldPosition="0"/>
    </format>
    <format dxfId="95">
      <pivotArea dataOnly="0" labelOnly="1" outline="0" fieldPosition="0">
        <references count="1">
          <reference field="4294967294" count="2">
            <x v="0"/>
            <x v="1"/>
          </reference>
        </references>
      </pivotArea>
    </format>
    <format dxfId="94">
      <pivotArea field="10" type="button" dataOnly="0" labelOnly="1" outline="0" axis="axisRow" fieldPosition="0"/>
    </format>
    <format dxfId="93">
      <pivotArea dataOnly="0" labelOnly="1" outline="0" fieldPosition="0">
        <references count="1">
          <reference field="4294967294" count="2">
            <x v="0"/>
            <x v="1"/>
          </reference>
        </references>
      </pivotArea>
    </format>
    <format dxfId="92">
      <pivotArea dataOnly="0" labelOnly="1" fieldPosition="0">
        <references count="2">
          <reference field="3" count="1">
            <x v="2"/>
          </reference>
          <reference field="10" count="1" selected="0">
            <x v="4"/>
          </reference>
        </references>
      </pivotArea>
    </format>
    <format dxfId="91">
      <pivotArea dataOnly="0" labelOnly="1" fieldPosition="0">
        <references count="2">
          <reference field="3" count="1">
            <x v="2"/>
          </reference>
          <reference field="10" count="1" selected="0">
            <x v="4"/>
          </reference>
        </references>
      </pivotArea>
    </format>
    <format dxfId="90">
      <pivotArea dataOnly="0" labelOnly="1" fieldPosition="0">
        <references count="2">
          <reference field="3" count="1">
            <x v="2"/>
          </reference>
          <reference field="10" count="1" selected="0">
            <x v="5"/>
          </reference>
        </references>
      </pivotArea>
    </format>
    <format dxfId="89">
      <pivotArea dataOnly="0" labelOnly="1" fieldPosition="0">
        <references count="2">
          <reference field="3" count="1">
            <x v="2"/>
          </reference>
          <reference field="10" count="1" selected="0">
            <x v="5"/>
          </reference>
        </references>
      </pivotArea>
    </format>
    <format dxfId="88">
      <pivotArea dataOnly="0" labelOnly="1" fieldPosition="0">
        <references count="2">
          <reference field="3" count="1">
            <x v="2"/>
          </reference>
          <reference field="10" count="1" selected="0">
            <x v="11"/>
          </reference>
        </references>
      </pivotArea>
    </format>
    <format dxfId="87">
      <pivotArea dataOnly="0" labelOnly="1" fieldPosition="0">
        <references count="2">
          <reference field="3" count="1">
            <x v="2"/>
          </reference>
          <reference field="10" count="1" selected="0">
            <x v="11"/>
          </reference>
        </references>
      </pivotArea>
    </format>
    <format dxfId="86">
      <pivotArea dataOnly="0" labelOnly="1" fieldPosition="0">
        <references count="2">
          <reference field="3" count="1">
            <x v="0"/>
          </reference>
          <reference field="10" count="1" selected="0">
            <x v="17"/>
          </reference>
        </references>
      </pivotArea>
    </format>
    <format dxfId="85">
      <pivotArea dataOnly="0" labelOnly="1" fieldPosition="0">
        <references count="2">
          <reference field="3" count="1">
            <x v="0"/>
          </reference>
          <reference field="10" count="1" selected="0">
            <x v="17"/>
          </reference>
        </references>
      </pivotArea>
    </format>
    <format dxfId="84">
      <pivotArea dataOnly="0" labelOnly="1" fieldPosition="0">
        <references count="2">
          <reference field="3" count="1">
            <x v="2"/>
          </reference>
          <reference field="10" count="1" selected="0">
            <x v="20"/>
          </reference>
        </references>
      </pivotArea>
    </format>
    <format dxfId="83">
      <pivotArea dataOnly="0" labelOnly="1" fieldPosition="0">
        <references count="2">
          <reference field="3" count="1">
            <x v="2"/>
          </reference>
          <reference field="10" count="1" selected="0">
            <x v="20"/>
          </reference>
        </references>
      </pivotArea>
    </format>
    <format dxfId="82">
      <pivotArea dataOnly="0" labelOnly="1" fieldPosition="0">
        <references count="2">
          <reference field="3" count="1">
            <x v="0"/>
          </reference>
          <reference field="10" count="1" selected="0">
            <x v="22"/>
          </reference>
        </references>
      </pivotArea>
    </format>
    <format dxfId="81">
      <pivotArea dataOnly="0" labelOnly="1" fieldPosition="0">
        <references count="2">
          <reference field="3" count="1">
            <x v="0"/>
          </reference>
          <reference field="10" count="1" selected="0">
            <x v="22"/>
          </reference>
        </references>
      </pivotArea>
    </format>
    <format dxfId="80">
      <pivotArea dataOnly="0" labelOnly="1" fieldPosition="0">
        <references count="2">
          <reference field="3" count="1">
            <x v="1"/>
          </reference>
          <reference field="10" count="1" selected="0">
            <x v="27"/>
          </reference>
        </references>
      </pivotArea>
    </format>
    <format dxfId="79">
      <pivotArea dataOnly="0" labelOnly="1" fieldPosition="0">
        <references count="2">
          <reference field="3" count="1">
            <x v="1"/>
          </reference>
          <reference field="10" count="1" selected="0">
            <x v="27"/>
          </reference>
        </references>
      </pivotArea>
    </format>
    <format dxfId="78">
      <pivotArea dataOnly="0" labelOnly="1" fieldPosition="0">
        <references count="2">
          <reference field="3" count="1">
            <x v="1"/>
          </reference>
          <reference field="10" count="1" selected="0">
            <x v="28"/>
          </reference>
        </references>
      </pivotArea>
    </format>
    <format dxfId="77">
      <pivotArea dataOnly="0" labelOnly="1" fieldPosition="0">
        <references count="2">
          <reference field="3" count="1">
            <x v="1"/>
          </reference>
          <reference field="10" count="1" selected="0">
            <x v="28"/>
          </reference>
        </references>
      </pivotArea>
    </format>
    <format dxfId="76">
      <pivotArea dataOnly="0" labelOnly="1" fieldPosition="0">
        <references count="2">
          <reference field="3" count="1">
            <x v="1"/>
          </reference>
          <reference field="10" count="1" selected="0">
            <x v="36"/>
          </reference>
        </references>
      </pivotArea>
    </format>
    <format dxfId="75">
      <pivotArea dataOnly="0" labelOnly="1" fieldPosition="0">
        <references count="2">
          <reference field="3" count="1">
            <x v="1"/>
          </reference>
          <reference field="10" count="1" selected="0">
            <x v="3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700B1A-A05A-47F5-80C2-368290B99C7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21" firstHeaderRow="1" firstDataRow="1" firstDataCol="1"/>
  <pivotFields count="17">
    <pivotField showAll="0"/>
    <pivotField numFmtId="164" showAll="0"/>
    <pivotField showAll="0"/>
    <pivotField showAll="0"/>
    <pivotField showAll="0"/>
    <pivotField showAll="0"/>
    <pivotField showAll="0"/>
    <pivotField showAll="0"/>
    <pivotField showAll="0"/>
    <pivotField showAll="0"/>
    <pivotField showAll="0"/>
    <pivotField axis="axisRow" showAll="0">
      <items count="5">
        <item x="1"/>
        <item x="3"/>
        <item x="0"/>
        <item x="2"/>
        <item t="default"/>
      </items>
    </pivotField>
    <pivotField numFmtId="165" showAll="0"/>
    <pivotField axis="axisRow" showAll="0">
      <items count="5">
        <item x="3"/>
        <item x="2"/>
        <item x="1"/>
        <item x="0"/>
        <item t="default"/>
      </items>
    </pivotField>
    <pivotField showAll="0"/>
    <pivotField showAll="0"/>
    <pivotField dataField="1" numFmtId="165" showAll="0"/>
  </pivotFields>
  <rowFields count="2">
    <field x="13"/>
    <field x="11"/>
  </rowFields>
  <rowItems count="18">
    <i>
      <x/>
    </i>
    <i r="1">
      <x v="2"/>
    </i>
    <i r="1">
      <x v="3"/>
    </i>
    <i>
      <x v="1"/>
    </i>
    <i r="1">
      <x/>
    </i>
    <i r="1">
      <x v="1"/>
    </i>
    <i r="1">
      <x v="2"/>
    </i>
    <i>
      <x v="2"/>
    </i>
    <i r="1">
      <x/>
    </i>
    <i r="1">
      <x v="1"/>
    </i>
    <i r="1">
      <x v="2"/>
    </i>
    <i r="1">
      <x v="3"/>
    </i>
    <i>
      <x v="3"/>
    </i>
    <i r="1">
      <x/>
    </i>
    <i r="1">
      <x v="1"/>
    </i>
    <i r="1">
      <x v="2"/>
    </i>
    <i r="1">
      <x v="3"/>
    </i>
    <i t="grand">
      <x/>
    </i>
  </rowItems>
  <colItems count="1">
    <i/>
  </colItems>
  <dataFields count="1">
    <dataField name="Sum of Inventory Value (Currency)" fld="16" baseField="0" baseItem="0" numFmtId="165"/>
  </dataFields>
  <formats count="27">
    <format dxfId="73">
      <pivotArea type="all" dataOnly="0" outline="0" fieldPosition="0"/>
    </format>
    <format dxfId="72">
      <pivotArea outline="0" collapsedLevelsAreSubtotals="1" fieldPosition="0"/>
    </format>
    <format dxfId="71">
      <pivotArea field="13" type="button" dataOnly="0" labelOnly="1" outline="0" axis="axisRow" fieldPosition="0"/>
    </format>
    <format dxfId="70">
      <pivotArea dataOnly="0" labelOnly="1" fieldPosition="0">
        <references count="1">
          <reference field="13" count="0"/>
        </references>
      </pivotArea>
    </format>
    <format dxfId="69">
      <pivotArea dataOnly="0" labelOnly="1" grandRow="1" outline="0" fieldPosition="0"/>
    </format>
    <format dxfId="68">
      <pivotArea dataOnly="0" labelOnly="1" fieldPosition="0">
        <references count="2">
          <reference field="11" count="2">
            <x v="2"/>
            <x v="3"/>
          </reference>
          <reference field="13" count="1" selected="0">
            <x v="0"/>
          </reference>
        </references>
      </pivotArea>
    </format>
    <format dxfId="67">
      <pivotArea dataOnly="0" labelOnly="1" fieldPosition="0">
        <references count="2">
          <reference field="11" count="3">
            <x v="0"/>
            <x v="1"/>
            <x v="2"/>
          </reference>
          <reference field="13" count="1" selected="0">
            <x v="1"/>
          </reference>
        </references>
      </pivotArea>
    </format>
    <format dxfId="66">
      <pivotArea dataOnly="0" labelOnly="1" fieldPosition="0">
        <references count="2">
          <reference field="11" count="0"/>
          <reference field="13" count="1" selected="0">
            <x v="2"/>
          </reference>
        </references>
      </pivotArea>
    </format>
    <format dxfId="65">
      <pivotArea dataOnly="0" labelOnly="1" fieldPosition="0">
        <references count="2">
          <reference field="11" count="0"/>
          <reference field="13" count="1" selected="0">
            <x v="3"/>
          </reference>
        </references>
      </pivotArea>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field="13" type="button" dataOnly="0" labelOnly="1" outline="0" axis="axisRow" fieldPosition="0"/>
    </format>
    <format dxfId="60">
      <pivotArea dataOnly="0" labelOnly="1" fieldPosition="0">
        <references count="1">
          <reference field="13" count="0"/>
        </references>
      </pivotArea>
    </format>
    <format dxfId="59">
      <pivotArea dataOnly="0" labelOnly="1" grandRow="1" outline="0" fieldPosition="0"/>
    </format>
    <format dxfId="58">
      <pivotArea dataOnly="0" labelOnly="1" fieldPosition="0">
        <references count="2">
          <reference field="11" count="2">
            <x v="2"/>
            <x v="3"/>
          </reference>
          <reference field="13" count="1" selected="0">
            <x v="0"/>
          </reference>
        </references>
      </pivotArea>
    </format>
    <format dxfId="57">
      <pivotArea dataOnly="0" labelOnly="1" fieldPosition="0">
        <references count="2">
          <reference field="11" count="3">
            <x v="0"/>
            <x v="1"/>
            <x v="2"/>
          </reference>
          <reference field="13" count="1" selected="0">
            <x v="1"/>
          </reference>
        </references>
      </pivotArea>
    </format>
    <format dxfId="56">
      <pivotArea dataOnly="0" labelOnly="1" fieldPosition="0">
        <references count="2">
          <reference field="11" count="0"/>
          <reference field="13" count="1" selected="0">
            <x v="2"/>
          </reference>
        </references>
      </pivotArea>
    </format>
    <format dxfId="55">
      <pivotArea dataOnly="0" labelOnly="1" fieldPosition="0">
        <references count="2">
          <reference field="11" count="0"/>
          <reference field="13" count="1" selected="0">
            <x v="3"/>
          </reference>
        </references>
      </pivotArea>
    </format>
    <format dxfId="54">
      <pivotArea dataOnly="0" labelOnly="1" outline="0" axis="axisValues" fieldPosition="0"/>
    </format>
    <format dxfId="53">
      <pivotArea outline="0" collapsedLevelsAreSubtotals="1" fieldPosition="0"/>
    </format>
    <format dxfId="52">
      <pivotArea collapsedLevelsAreSubtotals="1" fieldPosition="0">
        <references count="1">
          <reference field="13" count="1">
            <x v="2"/>
          </reference>
        </references>
      </pivotArea>
    </format>
    <format dxfId="51">
      <pivotArea collapsedLevelsAreSubtotals="1" fieldPosition="0">
        <references count="1">
          <reference field="13" count="1">
            <x v="3"/>
          </reference>
        </references>
      </pivotArea>
    </format>
    <format dxfId="50">
      <pivotArea collapsedLevelsAreSubtotals="1" fieldPosition="0">
        <references count="2">
          <reference field="11" count="1">
            <x v="0"/>
          </reference>
          <reference field="13" count="1" selected="0">
            <x v="2"/>
          </reference>
        </references>
      </pivotArea>
    </format>
    <format dxfId="49">
      <pivotArea collapsedLevelsAreSubtotals="1" fieldPosition="0">
        <references count="2">
          <reference field="11" count="1">
            <x v="1"/>
          </reference>
          <reference field="13" count="1" selected="0">
            <x v="2"/>
          </reference>
        </references>
      </pivotArea>
    </format>
    <format dxfId="48">
      <pivotArea collapsedLevelsAreSubtotals="1" fieldPosition="0">
        <references count="2">
          <reference field="11" count="2">
            <x v="0"/>
            <x v="1"/>
          </reference>
          <reference field="13" count="1" selected="0">
            <x v="2"/>
          </reference>
        </references>
      </pivotArea>
    </format>
    <format dxfId="47">
      <pivotArea dataOnly="0" labelOnly="1" fieldPosition="0">
        <references count="2">
          <reference field="11" count="2">
            <x v="0"/>
            <x v="1"/>
          </reference>
          <reference field="13" count="1" selected="0">
            <x v="2"/>
          </reference>
        </references>
      </pivotArea>
    </format>
  </formats>
  <conditionalFormats count="1">
    <conditionalFormat priority="1">
      <pivotAreas count="8">
        <pivotArea type="data" collapsedLevelsAreSubtotals="1" fieldPosition="0">
          <references count="2">
            <reference field="4294967294" count="1" selected="0">
              <x v="0"/>
            </reference>
            <reference field="13" count="1">
              <x v="0"/>
            </reference>
          </references>
        </pivotArea>
        <pivotArea type="data" collapsedLevelsAreSubtotals="1" fieldPosition="0">
          <references count="3">
            <reference field="4294967294" count="1" selected="0">
              <x v="0"/>
            </reference>
            <reference field="11" count="2">
              <x v="2"/>
              <x v="3"/>
            </reference>
            <reference field="13" count="1" selected="0">
              <x v="0"/>
            </reference>
          </references>
        </pivotArea>
        <pivotArea type="data" collapsedLevelsAreSubtotals="1" fieldPosition="0">
          <references count="2">
            <reference field="4294967294" count="1" selected="0">
              <x v="0"/>
            </reference>
            <reference field="13" count="1">
              <x v="1"/>
            </reference>
          </references>
        </pivotArea>
        <pivotArea type="data" collapsedLevelsAreSubtotals="1" fieldPosition="0">
          <references count="3">
            <reference field="4294967294" count="1" selected="0">
              <x v="0"/>
            </reference>
            <reference field="11" count="3">
              <x v="0"/>
              <x v="1"/>
              <x v="2"/>
            </reference>
            <reference field="13" count="1" selected="0">
              <x v="1"/>
            </reference>
          </references>
        </pivotArea>
        <pivotArea type="data" collapsedLevelsAreSubtotals="1" fieldPosition="0">
          <references count="2">
            <reference field="4294967294" count="1" selected="0">
              <x v="0"/>
            </reference>
            <reference field="13" count="1">
              <x v="2"/>
            </reference>
          </references>
        </pivotArea>
        <pivotArea type="data" collapsedLevelsAreSubtotals="1" fieldPosition="0">
          <references count="3">
            <reference field="4294967294" count="1" selected="0">
              <x v="0"/>
            </reference>
            <reference field="11" count="4">
              <x v="0"/>
              <x v="1"/>
              <x v="2"/>
              <x v="3"/>
            </reference>
            <reference field="13" count="1" selected="0">
              <x v="2"/>
            </reference>
          </references>
        </pivotArea>
        <pivotArea type="data" collapsedLevelsAreSubtotals="1" fieldPosition="0">
          <references count="2">
            <reference field="4294967294" count="1" selected="0">
              <x v="0"/>
            </reference>
            <reference field="13" count="1">
              <x v="3"/>
            </reference>
          </references>
        </pivotArea>
        <pivotArea type="data" collapsedLevelsAreSubtotals="1" fieldPosition="0">
          <references count="3">
            <reference field="4294967294" count="1" selected="0">
              <x v="0"/>
            </reference>
            <reference field="11" count="4">
              <x v="0"/>
              <x v="1"/>
              <x v="2"/>
              <x v="3"/>
            </reference>
            <reference field="13" count="1" selected="0">
              <x v="3"/>
            </reference>
          </references>
        </pivotArea>
      </pivotAreas>
    </conditionalFormat>
  </conditionalFormats>
  <chartFormats count="4">
    <chartFormat chart="11" format="0" series="1">
      <pivotArea type="data" outline="0" fieldPosition="0">
        <references count="1">
          <reference field="4294967294" count="1" selected="0">
            <x v="0"/>
          </reference>
        </references>
      </pivotArea>
    </chartFormat>
    <chartFormat chart="11" format="1">
      <pivotArea type="data" outline="0" fieldPosition="0">
        <references count="3">
          <reference field="4294967294" count="1" selected="0">
            <x v="0"/>
          </reference>
          <reference field="11" count="1" selected="0">
            <x v="2"/>
          </reference>
          <reference field="13" count="1" selected="0">
            <x v="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3">
          <reference field="4294967294" count="1" selected="0">
            <x v="0"/>
          </reference>
          <reference field="11" count="1" selected="0">
            <x v="2"/>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902099-5C8E-4715-B1DB-A9884ECF1BC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7">
    <pivotField showAll="0"/>
    <pivotField numFmtId="164" showAll="0"/>
    <pivotField showAll="0"/>
    <pivotField showAll="0"/>
    <pivotField showAll="0"/>
    <pivotField showAll="0"/>
    <pivotField showAll="0"/>
    <pivotField showAll="0"/>
    <pivotField showAll="0"/>
    <pivotField showAll="0"/>
    <pivotField showAll="0">
      <items count="40">
        <item x="24"/>
        <item x="7"/>
        <item x="16"/>
        <item x="8"/>
        <item x="30"/>
        <item x="15"/>
        <item x="5"/>
        <item x="21"/>
        <item x="25"/>
        <item x="9"/>
        <item x="10"/>
        <item x="17"/>
        <item x="37"/>
        <item x="0"/>
        <item x="29"/>
        <item x="22"/>
        <item x="6"/>
        <item x="3"/>
        <item x="32"/>
        <item x="36"/>
        <item x="34"/>
        <item x="2"/>
        <item x="28"/>
        <item x="13"/>
        <item x="18"/>
        <item x="27"/>
        <item x="20"/>
        <item x="31"/>
        <item x="33"/>
        <item x="19"/>
        <item x="35"/>
        <item x="1"/>
        <item x="14"/>
        <item x="4"/>
        <item x="38"/>
        <item x="12"/>
        <item x="26"/>
        <item x="23"/>
        <item x="11"/>
        <item t="default"/>
      </items>
    </pivotField>
    <pivotField showAll="0"/>
    <pivotField numFmtId="165" showAll="0"/>
    <pivotField showAll="0"/>
    <pivotField showAll="0"/>
    <pivotField axis="axisRow" dataField="1" showAll="0">
      <items count="4">
        <item x="0"/>
        <item x="1"/>
        <item x="2"/>
        <item t="default"/>
      </items>
    </pivotField>
    <pivotField numFmtId="165" showAll="0"/>
  </pivotFields>
  <rowFields count="1">
    <field x="15"/>
  </rowFields>
  <rowItems count="4">
    <i>
      <x/>
    </i>
    <i>
      <x v="1"/>
    </i>
    <i>
      <x v="2"/>
    </i>
    <i t="grand">
      <x/>
    </i>
  </rowItems>
  <colItems count="1">
    <i/>
  </colItems>
  <dataFields count="1">
    <dataField name="Count of Criticality" fld="15" subtotal="count" baseField="0" baseItem="0"/>
  </dataFields>
  <formats count="8">
    <format dxfId="46">
      <pivotArea type="all" dataOnly="0" outline="0" fieldPosition="0"/>
    </format>
    <format dxfId="45">
      <pivotArea dataOnly="0" fieldPosition="0">
        <references count="1">
          <reference field="15" count="1">
            <x v="0"/>
          </reference>
        </references>
      </pivotArea>
    </format>
    <format dxfId="44">
      <pivotArea type="all" dataOnly="0" outline="0" fieldPosition="0"/>
    </format>
    <format dxfId="43">
      <pivotArea outline="0" collapsedLevelsAreSubtotals="1" fieldPosition="0"/>
    </format>
    <format dxfId="42">
      <pivotArea field="15" type="button" dataOnly="0" labelOnly="1" outline="0" axis="axisRow" fieldPosition="0"/>
    </format>
    <format dxfId="41">
      <pivotArea dataOnly="0" labelOnly="1" fieldPosition="0">
        <references count="1">
          <reference field="15" count="0"/>
        </references>
      </pivotArea>
    </format>
    <format dxfId="40">
      <pivotArea dataOnly="0" labelOnly="1" grandRow="1" outline="0" fieldPosition="0"/>
    </format>
    <format dxfId="39">
      <pivotArea dataOnly="0" labelOnly="1" outline="0" axis="axisValues" fieldPosition="0"/>
    </format>
  </format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5" count="1" selected="0">
            <x v="1"/>
          </reference>
        </references>
      </pivotArea>
    </chartFormat>
    <chartFormat chart="3" format="2">
      <pivotArea type="data" outline="0" fieldPosition="0">
        <references count="2">
          <reference field="4294967294" count="1" selected="0">
            <x v="0"/>
          </reference>
          <reference field="15" count="1" selected="0">
            <x v="0"/>
          </reference>
        </references>
      </pivotArea>
    </chartFormat>
    <chartFormat chart="3" format="3">
      <pivotArea type="data" outline="0" fieldPosition="0">
        <references count="2">
          <reference field="4294967294" count="1" selected="0">
            <x v="0"/>
          </reference>
          <reference field="15"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5" count="1" selected="0">
            <x v="0"/>
          </reference>
        </references>
      </pivotArea>
    </chartFormat>
    <chartFormat chart="6" format="10">
      <pivotArea type="data" outline="0" fieldPosition="0">
        <references count="2">
          <reference field="4294967294" count="1" selected="0">
            <x v="0"/>
          </reference>
          <reference field="15" count="1" selected="0">
            <x v="1"/>
          </reference>
        </references>
      </pivotArea>
    </chartFormat>
    <chartFormat chart="6"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F8B2B4-6A8E-477A-98E8-F1F46D2F012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44" firstHeaderRow="1" firstDataRow="2" firstDataCol="1"/>
  <pivotFields count="17">
    <pivotField showAll="0"/>
    <pivotField numFmtId="164" showAll="0"/>
    <pivotField showAll="0"/>
    <pivotField showAll="0"/>
    <pivotField showAll="0"/>
    <pivotField showAll="0"/>
    <pivotField showAll="0"/>
    <pivotField showAll="0"/>
    <pivotField showAll="0"/>
    <pivotField showAll="0"/>
    <pivotField axis="axisRow" showAll="0">
      <items count="40">
        <item x="24"/>
        <item x="7"/>
        <item x="16"/>
        <item x="8"/>
        <item x="30"/>
        <item x="15"/>
        <item x="5"/>
        <item x="21"/>
        <item x="25"/>
        <item x="9"/>
        <item x="10"/>
        <item x="17"/>
        <item x="37"/>
        <item x="0"/>
        <item x="29"/>
        <item x="22"/>
        <item x="6"/>
        <item x="3"/>
        <item x="32"/>
        <item x="36"/>
        <item x="34"/>
        <item x="2"/>
        <item x="28"/>
        <item x="13"/>
        <item x="18"/>
        <item x="27"/>
        <item x="20"/>
        <item x="31"/>
        <item x="33"/>
        <item x="19"/>
        <item x="35"/>
        <item x="1"/>
        <item x="14"/>
        <item x="4"/>
        <item x="38"/>
        <item x="12"/>
        <item x="26"/>
        <item x="23"/>
        <item x="11"/>
        <item t="default"/>
      </items>
    </pivotField>
    <pivotField showAll="0"/>
    <pivotField numFmtId="165" showAll="0"/>
    <pivotField showAll="0"/>
    <pivotField dataField="1" showAll="0"/>
    <pivotField axis="axisCol" showAll="0">
      <items count="4">
        <item x="0"/>
        <item x="1"/>
        <item x="2"/>
        <item t="default"/>
      </items>
    </pivotField>
    <pivotField numFmtId="165" showAll="0"/>
  </pivotFields>
  <rowFields count="1">
    <field x="1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Fields count="1">
    <field x="15"/>
  </colFields>
  <colItems count="4">
    <i>
      <x/>
    </i>
    <i>
      <x v="1"/>
    </i>
    <i>
      <x v="2"/>
    </i>
    <i t="grand">
      <x/>
    </i>
  </colItems>
  <dataFields count="1">
    <dataField name="Average of Lead Time (Days)" fld="14" subtotal="average" baseField="10" baseItem="0"/>
  </dataFields>
  <formats count="6">
    <format dxfId="28">
      <pivotArea collapsedLevelsAreSubtotals="1" fieldPosition="0">
        <references count="1">
          <reference field="10" count="0"/>
        </references>
      </pivotArea>
    </format>
    <format dxfId="27">
      <pivotArea field="10" type="button" dataOnly="0" labelOnly="1" outline="0" axis="axisRow" fieldPosition="0"/>
    </format>
    <format dxfId="26">
      <pivotArea dataOnly="0" labelOnly="1" fieldPosition="0">
        <references count="1">
          <reference field="10" count="0"/>
        </references>
      </pivotArea>
    </format>
    <format dxfId="25">
      <pivotArea dataOnly="0" labelOnly="1" fieldPosition="0">
        <references count="1">
          <reference field="15" count="0"/>
        </references>
      </pivotArea>
    </format>
    <format dxfId="24">
      <pivotArea dataOnly="0" labelOnly="1" grandCol="1" outline="0" fieldPosition="0"/>
    </format>
    <format dxfId="23">
      <pivotArea collapsedLevelsAreSubtotals="1" fieldPosition="0">
        <references count="1">
          <reference field="10" count="0"/>
        </references>
      </pivotArea>
    </format>
  </formats>
  <conditionalFormats count="10">
    <conditionalFormat priority="1">
      <pivotAreas count="1">
        <pivotArea type="data" collapsedLevelsAreSubtotals="1" fieldPosition="0">
          <references count="3">
            <reference field="4294967294" count="1" selected="0">
              <x v="0"/>
            </reference>
            <reference field="10" count="39">
              <x v="0"/>
              <x v="1"/>
              <x v="2"/>
              <x v="3"/>
              <x v="4"/>
              <x v="5"/>
              <x v="6"/>
              <x v="7"/>
              <x v="8"/>
              <x v="9"/>
              <x v="10"/>
              <x v="11"/>
              <x v="12"/>
              <x v="13"/>
              <x v="14"/>
              <x v="15"/>
              <x v="16"/>
              <x v="17"/>
              <x v="18"/>
              <x v="19"/>
              <x v="20"/>
              <x v="21"/>
              <x v="22"/>
              <x v="23"/>
              <x v="24"/>
              <x v="25"/>
              <x v="26"/>
              <x v="27"/>
              <x v="28"/>
              <x v="29"/>
              <x v="30"/>
              <x v="31"/>
              <x v="32"/>
              <x v="33"/>
              <x v="34"/>
              <x v="35"/>
              <x v="36"/>
              <x v="37"/>
              <x v="38"/>
            </reference>
            <reference field="15" count="1" selected="0">
              <x v="2"/>
            </reference>
          </references>
        </pivotArea>
      </pivotAreas>
    </conditionalFormat>
    <conditionalFormat priority="2">
      <pivotAreas count="1">
        <pivotArea type="data" collapsedLevelsAreSubtotals="1" fieldPosition="0">
          <references count="3">
            <reference field="4294967294" count="1" selected="0">
              <x v="0"/>
            </reference>
            <reference field="10" count="39">
              <x v="0"/>
              <x v="1"/>
              <x v="2"/>
              <x v="3"/>
              <x v="4"/>
              <x v="5"/>
              <x v="6"/>
              <x v="7"/>
              <x v="8"/>
              <x v="9"/>
              <x v="10"/>
              <x v="11"/>
              <x v="12"/>
              <x v="13"/>
              <x v="14"/>
              <x v="15"/>
              <x v="16"/>
              <x v="17"/>
              <x v="18"/>
              <x v="19"/>
              <x v="20"/>
              <x v="21"/>
              <x v="22"/>
              <x v="23"/>
              <x v="24"/>
              <x v="25"/>
              <x v="26"/>
              <x v="27"/>
              <x v="28"/>
              <x v="29"/>
              <x v="30"/>
              <x v="31"/>
              <x v="32"/>
              <x v="33"/>
              <x v="34"/>
              <x v="35"/>
              <x v="36"/>
              <x v="37"/>
              <x v="38"/>
            </reference>
            <reference field="15" count="1" selected="0">
              <x v="2"/>
            </reference>
          </references>
        </pivotArea>
      </pivotAreas>
    </conditionalFormat>
    <conditionalFormat priority="3">
      <pivotAreas count="1">
        <pivotArea type="data" collapsedLevelsAreSubtotals="1" fieldPosition="0">
          <references count="3">
            <reference field="4294967294" count="1" selected="0">
              <x v="0"/>
            </reference>
            <reference field="10" count="39">
              <x v="0"/>
              <x v="1"/>
              <x v="2"/>
              <x v="3"/>
              <x v="4"/>
              <x v="5"/>
              <x v="6"/>
              <x v="7"/>
              <x v="8"/>
              <x v="9"/>
              <x v="10"/>
              <x v="11"/>
              <x v="12"/>
              <x v="13"/>
              <x v="14"/>
              <x v="15"/>
              <x v="16"/>
              <x v="17"/>
              <x v="18"/>
              <x v="19"/>
              <x v="20"/>
              <x v="21"/>
              <x v="22"/>
              <x v="23"/>
              <x v="24"/>
              <x v="25"/>
              <x v="26"/>
              <x v="27"/>
              <x v="28"/>
              <x v="29"/>
              <x v="30"/>
              <x v="31"/>
              <x v="32"/>
              <x v="33"/>
              <x v="34"/>
              <x v="35"/>
              <x v="36"/>
              <x v="37"/>
              <x v="38"/>
            </reference>
            <reference field="15" count="1" selected="0">
              <x v="2"/>
            </reference>
          </references>
        </pivotArea>
      </pivotAreas>
    </conditionalFormat>
    <conditionalFormat priority="4">
      <pivotAreas count="1">
        <pivotArea type="data" collapsedLevelsAreSubtotals="1" fieldPosition="0">
          <references count="3">
            <reference field="4294967294" count="1" selected="0">
              <x v="0"/>
            </reference>
            <reference field="10" count="39">
              <x v="0"/>
              <x v="1"/>
              <x v="2"/>
              <x v="3"/>
              <x v="4"/>
              <x v="5"/>
              <x v="6"/>
              <x v="7"/>
              <x v="8"/>
              <x v="9"/>
              <x v="10"/>
              <x v="11"/>
              <x v="12"/>
              <x v="13"/>
              <x v="14"/>
              <x v="15"/>
              <x v="16"/>
              <x v="17"/>
              <x v="18"/>
              <x v="19"/>
              <x v="20"/>
              <x v="21"/>
              <x v="22"/>
              <x v="23"/>
              <x v="24"/>
              <x v="25"/>
              <x v="26"/>
              <x v="27"/>
              <x v="28"/>
              <x v="29"/>
              <x v="30"/>
              <x v="31"/>
              <x v="32"/>
              <x v="33"/>
              <x v="34"/>
              <x v="35"/>
              <x v="36"/>
              <x v="37"/>
              <x v="38"/>
            </reference>
            <reference field="15" count="1" selected="0">
              <x v="1"/>
            </reference>
          </references>
        </pivotArea>
      </pivotAreas>
    </conditionalFormat>
    <conditionalFormat priority="5">
      <pivotAreas count="1">
        <pivotArea type="data" collapsedLevelsAreSubtotals="1" fieldPosition="0">
          <references count="3">
            <reference field="4294967294" count="1" selected="0">
              <x v="0"/>
            </reference>
            <reference field="10" count="39">
              <x v="0"/>
              <x v="1"/>
              <x v="2"/>
              <x v="3"/>
              <x v="4"/>
              <x v="5"/>
              <x v="6"/>
              <x v="7"/>
              <x v="8"/>
              <x v="9"/>
              <x v="10"/>
              <x v="11"/>
              <x v="12"/>
              <x v="13"/>
              <x v="14"/>
              <x v="15"/>
              <x v="16"/>
              <x v="17"/>
              <x v="18"/>
              <x v="19"/>
              <x v="20"/>
              <x v="21"/>
              <x v="22"/>
              <x v="23"/>
              <x v="24"/>
              <x v="25"/>
              <x v="26"/>
              <x v="27"/>
              <x v="28"/>
              <x v="29"/>
              <x v="30"/>
              <x v="31"/>
              <x v="32"/>
              <x v="33"/>
              <x v="34"/>
              <x v="35"/>
              <x v="36"/>
              <x v="37"/>
              <x v="38"/>
            </reference>
            <reference field="15" count="1" selected="0">
              <x v="1"/>
            </reference>
          </references>
        </pivotArea>
      </pivotAreas>
    </conditionalFormat>
    <conditionalFormat priority="6">
      <pivotAreas count="1">
        <pivotArea type="data" collapsedLevelsAreSubtotals="1" fieldPosition="0">
          <references count="3">
            <reference field="4294967294" count="1" selected="0">
              <x v="0"/>
            </reference>
            <reference field="10" count="39">
              <x v="0"/>
              <x v="1"/>
              <x v="2"/>
              <x v="3"/>
              <x v="4"/>
              <x v="5"/>
              <x v="6"/>
              <x v="7"/>
              <x v="8"/>
              <x v="9"/>
              <x v="10"/>
              <x v="11"/>
              <x v="12"/>
              <x v="13"/>
              <x v="14"/>
              <x v="15"/>
              <x v="16"/>
              <x v="17"/>
              <x v="18"/>
              <x v="19"/>
              <x v="20"/>
              <x v="21"/>
              <x v="22"/>
              <x v="23"/>
              <x v="24"/>
              <x v="25"/>
              <x v="26"/>
              <x v="27"/>
              <x v="28"/>
              <x v="29"/>
              <x v="30"/>
              <x v="31"/>
              <x v="32"/>
              <x v="33"/>
              <x v="34"/>
              <x v="35"/>
              <x v="36"/>
              <x v="37"/>
              <x v="38"/>
            </reference>
            <reference field="15" count="1" selected="0">
              <x v="1"/>
            </reference>
          </references>
        </pivotArea>
      </pivotAreas>
    </conditionalFormat>
    <conditionalFormat priority="7">
      <pivotAreas count="1">
        <pivotArea type="data" collapsedLevelsAreSubtotals="1" fieldPosition="0">
          <references count="3">
            <reference field="4294967294" count="1" selected="0">
              <x v="0"/>
            </reference>
            <reference field="10" count="39">
              <x v="0"/>
              <x v="1"/>
              <x v="2"/>
              <x v="3"/>
              <x v="4"/>
              <x v="5"/>
              <x v="6"/>
              <x v="7"/>
              <x v="8"/>
              <x v="9"/>
              <x v="10"/>
              <x v="11"/>
              <x v="12"/>
              <x v="13"/>
              <x v="14"/>
              <x v="15"/>
              <x v="16"/>
              <x v="17"/>
              <x v="18"/>
              <x v="19"/>
              <x v="20"/>
              <x v="21"/>
              <x v="22"/>
              <x v="23"/>
              <x v="24"/>
              <x v="25"/>
              <x v="26"/>
              <x v="27"/>
              <x v="28"/>
              <x v="29"/>
              <x v="30"/>
              <x v="31"/>
              <x v="32"/>
              <x v="33"/>
              <x v="34"/>
              <x v="35"/>
              <x v="36"/>
              <x v="37"/>
              <x v="38"/>
            </reference>
            <reference field="15" count="1" selected="0">
              <x v="0"/>
            </reference>
          </references>
        </pivotArea>
      </pivotAreas>
    </conditionalFormat>
    <conditionalFormat priority="8">
      <pivotAreas count="1">
        <pivotArea type="data" collapsedLevelsAreSubtotals="1" fieldPosition="0">
          <references count="3">
            <reference field="4294967294" count="1" selected="0">
              <x v="0"/>
            </reference>
            <reference field="10" count="39">
              <x v="0"/>
              <x v="1"/>
              <x v="2"/>
              <x v="3"/>
              <x v="4"/>
              <x v="5"/>
              <x v="6"/>
              <x v="7"/>
              <x v="8"/>
              <x v="9"/>
              <x v="10"/>
              <x v="11"/>
              <x v="12"/>
              <x v="13"/>
              <x v="14"/>
              <x v="15"/>
              <x v="16"/>
              <x v="17"/>
              <x v="18"/>
              <x v="19"/>
              <x v="20"/>
              <x v="21"/>
              <x v="22"/>
              <x v="23"/>
              <x v="24"/>
              <x v="25"/>
              <x v="26"/>
              <x v="27"/>
              <x v="28"/>
              <x v="29"/>
              <x v="30"/>
              <x v="31"/>
              <x v="32"/>
              <x v="33"/>
              <x v="34"/>
              <x v="35"/>
              <x v="36"/>
              <x v="37"/>
              <x v="38"/>
            </reference>
            <reference field="15" count="1" selected="0">
              <x v="0"/>
            </reference>
          </references>
        </pivotArea>
      </pivotAreas>
    </conditionalFormat>
    <conditionalFormat priority="9">
      <pivotAreas count="1">
        <pivotArea type="data" collapsedLevelsAreSubtotals="1" fieldPosition="0">
          <references count="3">
            <reference field="4294967294" count="1" selected="0">
              <x v="0"/>
            </reference>
            <reference field="10" count="39">
              <x v="0"/>
              <x v="1"/>
              <x v="2"/>
              <x v="3"/>
              <x v="4"/>
              <x v="5"/>
              <x v="6"/>
              <x v="7"/>
              <x v="8"/>
              <x v="9"/>
              <x v="10"/>
              <x v="11"/>
              <x v="12"/>
              <x v="13"/>
              <x v="14"/>
              <x v="15"/>
              <x v="16"/>
              <x v="17"/>
              <x v="18"/>
              <x v="19"/>
              <x v="20"/>
              <x v="21"/>
              <x v="22"/>
              <x v="23"/>
              <x v="24"/>
              <x v="25"/>
              <x v="26"/>
              <x v="27"/>
              <x v="28"/>
              <x v="29"/>
              <x v="30"/>
              <x v="31"/>
              <x v="32"/>
              <x v="33"/>
              <x v="34"/>
              <x v="35"/>
              <x v="36"/>
              <x v="37"/>
              <x v="38"/>
            </reference>
            <reference field="15" count="1" selected="0">
              <x v="0"/>
            </reference>
          </references>
        </pivotArea>
      </pivotAreas>
    </conditionalFormat>
    <conditionalFormat priority="10">
      <pivotAreas count="1">
        <pivotArea type="data" collapsedLevelsAreSubtotals="1" fieldPosition="0">
          <references count="3">
            <reference field="4294967294" count="1" selected="0">
              <x v="0"/>
            </reference>
            <reference field="10" count="39">
              <x v="0"/>
              <x v="1"/>
              <x v="2"/>
              <x v="3"/>
              <x v="4"/>
              <x v="5"/>
              <x v="6"/>
              <x v="7"/>
              <x v="8"/>
              <x v="9"/>
              <x v="10"/>
              <x v="11"/>
              <x v="12"/>
              <x v="13"/>
              <x v="14"/>
              <x v="15"/>
              <x v="16"/>
              <x v="17"/>
              <x v="18"/>
              <x v="19"/>
              <x v="20"/>
              <x v="21"/>
              <x v="22"/>
              <x v="23"/>
              <x v="24"/>
              <x v="25"/>
              <x v="26"/>
              <x v="27"/>
              <x v="28"/>
              <x v="29"/>
              <x v="30"/>
              <x v="31"/>
              <x v="32"/>
              <x v="33"/>
              <x v="34"/>
              <x v="35"/>
              <x v="36"/>
              <x v="37"/>
              <x v="38"/>
            </reference>
            <reference field="15" count="1" selected="0">
              <x v="0"/>
            </reference>
          </references>
        </pivotArea>
      </pivotAreas>
    </conditionalFormat>
  </conditionalFormats>
  <chartFormats count="3">
    <chartFormat chart="4" format="0" series="1">
      <pivotArea type="data" outline="0" fieldPosition="0">
        <references count="2">
          <reference field="4294967294" count="1" selected="0">
            <x v="0"/>
          </reference>
          <reference field="15" count="1" selected="0">
            <x v="0"/>
          </reference>
        </references>
      </pivotArea>
    </chartFormat>
    <chartFormat chart="4" format="1" series="1">
      <pivotArea type="data" outline="0" fieldPosition="0">
        <references count="2">
          <reference field="4294967294" count="1" selected="0">
            <x v="0"/>
          </reference>
          <reference field="15" count="1" selected="0">
            <x v="1"/>
          </reference>
        </references>
      </pivotArea>
    </chartFormat>
    <chartFormat chart="4" format="2"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ED9633-1427-4C31-A6D8-61D54218FFA4}" name="Table1" displayName="Table1" ref="A1:Q201" totalsRowShown="0" headerRowDxfId="22" dataDxfId="20" headerRowBorderDxfId="21" tableBorderDxfId="19" totalsRowBorderDxfId="18">
  <autoFilter ref="A1:Q201" xr:uid="{ABED9633-1427-4C31-A6D8-61D54218FFA4}"/>
  <sortState xmlns:xlrd2="http://schemas.microsoft.com/office/spreadsheetml/2017/richdata2" ref="A2:J201">
    <sortCondition ref="A2:A201"/>
  </sortState>
  <tableColumns count="17">
    <tableColumn id="1" xr3:uid="{66CB71AB-8697-4C4A-8F24-AE8C09DCF5F1}" name="Transaction ID" dataDxfId="17"/>
    <tableColumn id="2" xr3:uid="{A799CB45-5524-4237-9222-3448E8D4AB87}" name="Transaction Date" dataDxfId="16"/>
    <tableColumn id="3" xr3:uid="{624A5D4E-BADF-4867-A205-C8223785212F}" name="Item Code" dataDxfId="15"/>
    <tableColumn id="4" xr3:uid="{634798C2-832B-4CA5-A117-1A7CB2B53E0B}" name="Warehouse" dataDxfId="14"/>
    <tableColumn id="5" xr3:uid="{D569CF3D-B214-4FDC-9E6F-948E0BF03DBF}" name="Department" dataDxfId="13"/>
    <tableColumn id="6" xr3:uid="{66E89DA8-E580-4088-9A64-956875DB61A6}" name="Qty Received" dataDxfId="12"/>
    <tableColumn id="7" xr3:uid="{F6707D03-516E-49DC-9600-3A5C495C9A64}" name="Qty Issued" dataDxfId="11"/>
    <tableColumn id="8" xr3:uid="{75FADBC6-07DA-4CA7-980D-28245F20E2A8}" name="Current Stock" dataDxfId="10"/>
    <tableColumn id="9" xr3:uid="{FAD5E3A5-77A9-4FA5-B476-4485FCCFD730}" name="Reorder Level" dataDxfId="9"/>
    <tableColumn id="10" xr3:uid="{45E08317-FEF1-4E7C-8625-F87CDFB89555}" name="Transaction Type" dataDxfId="8"/>
    <tableColumn id="11" xr3:uid="{ADC99A19-D7BE-41BF-9705-B02FFD720D06}" name="Item Description" dataDxfId="7">
      <calculatedColumnFormula>_xlfn.XLOOKUP(C2,[1]Sheet!$A:$A,[1]Sheet!$B:$B,"Not Found")</calculatedColumnFormula>
    </tableColumn>
    <tableColumn id="12" xr3:uid="{5E9579D5-3FCF-41C8-8674-AC4EC1977081}" name="Category" dataDxfId="6">
      <calculatedColumnFormula>_xlfn.XLOOKUP(C2,[1]Sheet!$A:$A,[1]Sheet!$C:$C,"Not Found")</calculatedColumnFormula>
    </tableColumn>
    <tableColumn id="13" xr3:uid="{16561D93-26E6-4DC4-835C-71557D9155F6}" name="Unit Cost (Currency)" dataDxfId="5" dataCellStyle="Comma">
      <calculatedColumnFormula>_xlfn.XLOOKUP(C2,[1]Sheet!$A:$A,[1]Sheet!$D:$D,"Not Found")</calculatedColumnFormula>
    </tableColumn>
    <tableColumn id="14" xr3:uid="{63B410E2-A362-429E-AEB3-EE36959B747D}" name="Preferred Supplier" dataDxfId="4">
      <calculatedColumnFormula>_xlfn.XLOOKUP(C2,[1]Sheet!$A:$A,[1]Sheet!$E:$E,"Not Found")</calculatedColumnFormula>
    </tableColumn>
    <tableColumn id="15" xr3:uid="{E4E30FCD-1FDA-4CE3-9146-648144AC0CB4}" name="Lead Time (Days)" dataDxfId="3">
      <calculatedColumnFormula>_xlfn.XLOOKUP(C2,[1]Sheet!$A:$A,[1]Sheet!$F:$F,"Not Found")</calculatedColumnFormula>
    </tableColumn>
    <tableColumn id="16" xr3:uid="{A816AA6D-836C-42DA-9DC4-24CA6C96F98C}" name="Criticality" dataDxfId="2">
      <calculatedColumnFormula>_xlfn.XLOOKUP(C2,[1]Sheet!$A:$A,[1]Sheet!$G:$G,"Not Found")</calculatedColumnFormula>
    </tableColumn>
    <tableColumn id="17" xr3:uid="{D24230A3-4766-43CE-AE46-6153F5307399}" name="Inventory Value (Currency)" dataDxfId="1">
      <calculatedColumnFormula>Table1[[#This Row],[Current Stock]]*Table1[[#This Row],[Unit Cost (Currency)]]</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AC2EE-4B4F-490F-8D79-FA003A9C9DB9}">
  <dimension ref="A3:B7"/>
  <sheetViews>
    <sheetView workbookViewId="0">
      <selection activeCell="E19" sqref="E19"/>
    </sheetView>
  </sheetViews>
  <sheetFormatPr defaultRowHeight="14.4" x14ac:dyDescent="0.3"/>
  <cols>
    <col min="1" max="1" width="18.44140625" customWidth="1"/>
    <col min="2" max="2" width="30.77734375" bestFit="1" customWidth="1"/>
  </cols>
  <sheetData>
    <row r="3" spans="1:2" x14ac:dyDescent="0.3">
      <c r="A3" s="34" t="s">
        <v>286</v>
      </c>
      <c r="B3" s="35" t="s">
        <v>289</v>
      </c>
    </row>
    <row r="4" spans="1:2" x14ac:dyDescent="0.3">
      <c r="A4" s="39" t="s">
        <v>12</v>
      </c>
      <c r="B4" s="38">
        <v>2546136</v>
      </c>
    </row>
    <row r="5" spans="1:2" x14ac:dyDescent="0.3">
      <c r="A5" s="36" t="s">
        <v>26</v>
      </c>
      <c r="B5" s="38">
        <v>2498849</v>
      </c>
    </row>
    <row r="6" spans="1:2" x14ac:dyDescent="0.3">
      <c r="A6" s="36" t="s">
        <v>17</v>
      </c>
      <c r="B6" s="38">
        <v>2101832</v>
      </c>
    </row>
    <row r="7" spans="1:2" x14ac:dyDescent="0.3">
      <c r="A7" s="36" t="s">
        <v>287</v>
      </c>
      <c r="B7" s="38">
        <v>7146817</v>
      </c>
    </row>
  </sheetData>
  <conditionalFormatting pivot="1" sqref="B4:B6">
    <cfRule type="cellIs" dxfId="146" priority="1" operator="greaterThan">
      <formula>2500000</formula>
    </cfRule>
  </conditionalFormatting>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0F75F-8004-40D6-B61A-073AC8E8A224}">
  <dimension ref="A3:B8"/>
  <sheetViews>
    <sheetView workbookViewId="0">
      <selection activeCell="B11" sqref="B11"/>
    </sheetView>
  </sheetViews>
  <sheetFormatPr defaultRowHeight="14.4" x14ac:dyDescent="0.3"/>
  <cols>
    <col min="1" max="1" width="14.77734375" customWidth="1"/>
    <col min="2" max="2" width="30.77734375" bestFit="1" customWidth="1"/>
  </cols>
  <sheetData>
    <row r="3" spans="1:2" x14ac:dyDescent="0.3">
      <c r="A3" s="34" t="s">
        <v>286</v>
      </c>
      <c r="B3" s="35" t="s">
        <v>289</v>
      </c>
    </row>
    <row r="4" spans="1:2" x14ac:dyDescent="0.3">
      <c r="A4" s="36" t="s">
        <v>290</v>
      </c>
      <c r="B4" s="38">
        <v>2067135</v>
      </c>
    </row>
    <row r="5" spans="1:2" x14ac:dyDescent="0.3">
      <c r="A5" s="36" t="s">
        <v>291</v>
      </c>
      <c r="B5" s="38">
        <v>1761031</v>
      </c>
    </row>
    <row r="6" spans="1:2" x14ac:dyDescent="0.3">
      <c r="A6" s="39" t="s">
        <v>292</v>
      </c>
      <c r="B6" s="40">
        <v>2098146</v>
      </c>
    </row>
    <row r="7" spans="1:2" x14ac:dyDescent="0.3">
      <c r="A7" s="36" t="s">
        <v>293</v>
      </c>
      <c r="B7" s="38">
        <v>1220505</v>
      </c>
    </row>
    <row r="8" spans="1:2" x14ac:dyDescent="0.3">
      <c r="A8" s="36" t="s">
        <v>287</v>
      </c>
      <c r="B8" s="38">
        <v>7146817</v>
      </c>
    </row>
  </sheetData>
  <conditionalFormatting pivot="1" sqref="B4:B7">
    <cfRule type="cellIs" dxfId="137" priority="1" operator="greaterThan">
      <formula>2000000</formula>
    </cfRule>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9ABB9-6BC8-466C-ABC2-01F00C806CB0}">
  <dimension ref="A3:F43"/>
  <sheetViews>
    <sheetView workbookViewId="0">
      <selection activeCell="F18" sqref="F18"/>
    </sheetView>
  </sheetViews>
  <sheetFormatPr defaultRowHeight="14.4" x14ac:dyDescent="0.3"/>
  <cols>
    <col min="1" max="1" width="14.77734375" bestFit="1" customWidth="1"/>
    <col min="2" max="2" width="24.33203125" customWidth="1"/>
    <col min="4" max="4" width="21.5546875" customWidth="1"/>
    <col min="5" max="5" width="22.33203125" customWidth="1"/>
    <col min="6" max="6" width="24.5546875" customWidth="1"/>
  </cols>
  <sheetData>
    <row r="3" spans="1:6" x14ac:dyDescent="0.3">
      <c r="A3" s="48" t="s">
        <v>286</v>
      </c>
      <c r="B3" s="49" t="s">
        <v>337</v>
      </c>
    </row>
    <row r="4" spans="1:6" ht="15.6" x14ac:dyDescent="0.3">
      <c r="A4" s="50" t="s">
        <v>302</v>
      </c>
      <c r="B4" s="51">
        <v>494</v>
      </c>
      <c r="D4" s="54" t="s">
        <v>344</v>
      </c>
      <c r="E4" s="54" t="s">
        <v>345</v>
      </c>
      <c r="F4" s="54" t="s">
        <v>343</v>
      </c>
    </row>
    <row r="5" spans="1:6" ht="17.399999999999999" x14ac:dyDescent="0.35">
      <c r="A5" s="50" t="s">
        <v>332</v>
      </c>
      <c r="B5" s="51">
        <v>476</v>
      </c>
      <c r="D5" s="55" t="s">
        <v>294</v>
      </c>
      <c r="E5" s="56" t="s">
        <v>342</v>
      </c>
      <c r="F5" s="56">
        <f>COUNTIF(B4:B42,"&gt;=401")</f>
        <v>7</v>
      </c>
    </row>
    <row r="6" spans="1:6" ht="15.6" x14ac:dyDescent="0.3">
      <c r="A6" s="50" t="s">
        <v>317</v>
      </c>
      <c r="B6" s="51">
        <v>463</v>
      </c>
      <c r="D6" s="52" t="s">
        <v>339</v>
      </c>
      <c r="E6" s="53" t="s">
        <v>341</v>
      </c>
      <c r="F6" s="53">
        <f>COUNTA(B11:B24)</f>
        <v>14</v>
      </c>
    </row>
    <row r="7" spans="1:6" ht="15.6" x14ac:dyDescent="0.3">
      <c r="A7" s="50" t="s">
        <v>321</v>
      </c>
      <c r="B7" s="51">
        <v>462</v>
      </c>
      <c r="D7" s="52" t="s">
        <v>346</v>
      </c>
      <c r="E7" s="53" t="s">
        <v>340</v>
      </c>
      <c r="F7" s="53">
        <f>COUNTA(B25:B38)</f>
        <v>14</v>
      </c>
    </row>
    <row r="8" spans="1:6" ht="15.6" x14ac:dyDescent="0.3">
      <c r="A8" s="50" t="s">
        <v>312</v>
      </c>
      <c r="B8" s="51">
        <v>421</v>
      </c>
      <c r="D8" s="52" t="s">
        <v>295</v>
      </c>
      <c r="E8" s="53" t="s">
        <v>338</v>
      </c>
      <c r="F8" s="53">
        <f>COUNTA(B39:B42)</f>
        <v>4</v>
      </c>
    </row>
    <row r="9" spans="1:6" x14ac:dyDescent="0.3">
      <c r="A9" s="50" t="s">
        <v>329</v>
      </c>
      <c r="B9" s="51">
        <v>409</v>
      </c>
    </row>
    <row r="10" spans="1:6" x14ac:dyDescent="0.3">
      <c r="A10" s="50" t="s">
        <v>304</v>
      </c>
      <c r="B10" s="51">
        <v>406</v>
      </c>
    </row>
    <row r="11" spans="1:6" x14ac:dyDescent="0.3">
      <c r="A11" s="49" t="s">
        <v>300</v>
      </c>
      <c r="B11" s="41">
        <v>386</v>
      </c>
    </row>
    <row r="12" spans="1:6" x14ac:dyDescent="0.3">
      <c r="A12" s="49" t="s">
        <v>298</v>
      </c>
      <c r="B12" s="41">
        <v>375</v>
      </c>
    </row>
    <row r="13" spans="1:6" x14ac:dyDescent="0.3">
      <c r="A13" s="49" t="s">
        <v>334</v>
      </c>
      <c r="B13" s="41">
        <v>374</v>
      </c>
    </row>
    <row r="14" spans="1:6" x14ac:dyDescent="0.3">
      <c r="A14" s="49" t="s">
        <v>301</v>
      </c>
      <c r="B14" s="41">
        <v>365</v>
      </c>
    </row>
    <row r="15" spans="1:6" x14ac:dyDescent="0.3">
      <c r="A15" s="49" t="s">
        <v>313</v>
      </c>
      <c r="B15" s="41">
        <v>348</v>
      </c>
    </row>
    <row r="16" spans="1:6" x14ac:dyDescent="0.3">
      <c r="A16" s="49" t="s">
        <v>316</v>
      </c>
      <c r="B16" s="41">
        <v>348</v>
      </c>
    </row>
    <row r="17" spans="1:2" x14ac:dyDescent="0.3">
      <c r="A17" s="49" t="s">
        <v>315</v>
      </c>
      <c r="B17" s="41">
        <v>326</v>
      </c>
    </row>
    <row r="18" spans="1:2" x14ac:dyDescent="0.3">
      <c r="A18" s="49" t="s">
        <v>311</v>
      </c>
      <c r="B18" s="41">
        <v>313</v>
      </c>
    </row>
    <row r="19" spans="1:2" x14ac:dyDescent="0.3">
      <c r="A19" s="49" t="s">
        <v>328</v>
      </c>
      <c r="B19" s="41">
        <v>306</v>
      </c>
    </row>
    <row r="20" spans="1:2" x14ac:dyDescent="0.3">
      <c r="A20" s="49" t="s">
        <v>325</v>
      </c>
      <c r="B20" s="41">
        <v>298</v>
      </c>
    </row>
    <row r="21" spans="1:2" x14ac:dyDescent="0.3">
      <c r="A21" s="49" t="s">
        <v>323</v>
      </c>
      <c r="B21" s="41">
        <v>293</v>
      </c>
    </row>
    <row r="22" spans="1:2" x14ac:dyDescent="0.3">
      <c r="A22" s="49" t="s">
        <v>306</v>
      </c>
      <c r="B22" s="41">
        <v>285</v>
      </c>
    </row>
    <row r="23" spans="1:2" x14ac:dyDescent="0.3">
      <c r="A23" s="49" t="s">
        <v>322</v>
      </c>
      <c r="B23" s="41">
        <v>282</v>
      </c>
    </row>
    <row r="24" spans="1:2" x14ac:dyDescent="0.3">
      <c r="A24" s="49" t="s">
        <v>303</v>
      </c>
      <c r="B24" s="41">
        <v>270</v>
      </c>
    </row>
    <row r="25" spans="1:2" x14ac:dyDescent="0.3">
      <c r="A25" s="49" t="s">
        <v>319</v>
      </c>
      <c r="B25" s="41">
        <v>246</v>
      </c>
    </row>
    <row r="26" spans="1:2" x14ac:dyDescent="0.3">
      <c r="A26" s="49" t="s">
        <v>335</v>
      </c>
      <c r="B26" s="41">
        <v>245</v>
      </c>
    </row>
    <row r="27" spans="1:2" x14ac:dyDescent="0.3">
      <c r="A27" s="49" t="s">
        <v>305</v>
      </c>
      <c r="B27" s="41">
        <v>245</v>
      </c>
    </row>
    <row r="28" spans="1:2" x14ac:dyDescent="0.3">
      <c r="A28" s="49" t="s">
        <v>308</v>
      </c>
      <c r="B28" s="41">
        <v>239</v>
      </c>
    </row>
    <row r="29" spans="1:2" x14ac:dyDescent="0.3">
      <c r="A29" s="49" t="s">
        <v>314</v>
      </c>
      <c r="B29" s="41">
        <v>224</v>
      </c>
    </row>
    <row r="30" spans="1:2" x14ac:dyDescent="0.3">
      <c r="A30" s="49" t="s">
        <v>336</v>
      </c>
      <c r="B30" s="41">
        <v>209</v>
      </c>
    </row>
    <row r="31" spans="1:2" x14ac:dyDescent="0.3">
      <c r="A31" s="49" t="s">
        <v>320</v>
      </c>
      <c r="B31" s="41">
        <v>190</v>
      </c>
    </row>
    <row r="32" spans="1:2" x14ac:dyDescent="0.3">
      <c r="A32" s="49" t="s">
        <v>327</v>
      </c>
      <c r="B32" s="41">
        <v>186</v>
      </c>
    </row>
    <row r="33" spans="1:2" x14ac:dyDescent="0.3">
      <c r="A33" s="49" t="s">
        <v>326</v>
      </c>
      <c r="B33" s="41">
        <v>184</v>
      </c>
    </row>
    <row r="34" spans="1:2" x14ac:dyDescent="0.3">
      <c r="A34" s="49" t="s">
        <v>331</v>
      </c>
      <c r="B34" s="41">
        <v>180</v>
      </c>
    </row>
    <row r="35" spans="1:2" x14ac:dyDescent="0.3">
      <c r="A35" s="49" t="s">
        <v>330</v>
      </c>
      <c r="B35" s="41">
        <v>165</v>
      </c>
    </row>
    <row r="36" spans="1:2" x14ac:dyDescent="0.3">
      <c r="A36" s="49" t="s">
        <v>333</v>
      </c>
      <c r="B36" s="41">
        <v>156</v>
      </c>
    </row>
    <row r="37" spans="1:2" x14ac:dyDescent="0.3">
      <c r="A37" s="49" t="s">
        <v>310</v>
      </c>
      <c r="B37" s="41">
        <v>151</v>
      </c>
    </row>
    <row r="38" spans="1:2" x14ac:dyDescent="0.3">
      <c r="A38" s="49" t="s">
        <v>309</v>
      </c>
      <c r="B38" s="41">
        <v>109</v>
      </c>
    </row>
    <row r="39" spans="1:2" x14ac:dyDescent="0.3">
      <c r="A39" s="49" t="s">
        <v>299</v>
      </c>
      <c r="B39" s="41">
        <v>90</v>
      </c>
    </row>
    <row r="40" spans="1:2" x14ac:dyDescent="0.3">
      <c r="A40" s="49" t="s">
        <v>318</v>
      </c>
      <c r="B40" s="41">
        <v>73</v>
      </c>
    </row>
    <row r="41" spans="1:2" x14ac:dyDescent="0.3">
      <c r="A41" s="49" t="s">
        <v>324</v>
      </c>
      <c r="B41" s="41">
        <v>71</v>
      </c>
    </row>
    <row r="42" spans="1:2" x14ac:dyDescent="0.3">
      <c r="A42" s="49" t="s">
        <v>307</v>
      </c>
      <c r="B42" s="41">
        <v>8</v>
      </c>
    </row>
    <row r="43" spans="1:2" x14ac:dyDescent="0.3">
      <c r="A43" s="49" t="s">
        <v>287</v>
      </c>
      <c r="B43" s="41">
        <v>8</v>
      </c>
    </row>
  </sheetData>
  <conditionalFormatting pivot="1" sqref="B4:B43">
    <cfRule type="cellIs" dxfId="128" priority="5" operator="greaterThan">
      <formula>401</formula>
    </cfRule>
  </conditionalFormatting>
  <conditionalFormatting pivot="1" sqref="B4:B42">
    <cfRule type="cellIs" dxfId="127" priority="4" operator="between">
      <formula>251</formula>
      <formula>400</formula>
    </cfRule>
  </conditionalFormatting>
  <conditionalFormatting sqref="F7">
    <cfRule type="cellIs" dxfId="126" priority="3" operator="between">
      <formula>101</formula>
      <formula>250</formula>
    </cfRule>
  </conditionalFormatting>
  <conditionalFormatting pivot="1" sqref="B4:B42">
    <cfRule type="cellIs" dxfId="125" priority="2" operator="between">
      <formula>101</formula>
      <formula>250</formula>
    </cfRule>
  </conditionalFormatting>
  <conditionalFormatting pivot="1" sqref="B4:B42">
    <cfRule type="cellIs" dxfId="124" priority="1" operator="between">
      <formula>1</formula>
      <formula>100</formula>
    </cfRule>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D6AB5-F532-4CD1-83BF-384FB802BD68}">
  <dimension ref="A3:K142"/>
  <sheetViews>
    <sheetView zoomScale="81" zoomScaleNormal="81" workbookViewId="0">
      <selection activeCell="P19" sqref="P19"/>
    </sheetView>
  </sheetViews>
  <sheetFormatPr defaultRowHeight="14.4" x14ac:dyDescent="0.3"/>
  <cols>
    <col min="1" max="1" width="15.5546875" bestFit="1" customWidth="1"/>
    <col min="2" max="3" width="19.109375" bestFit="1" customWidth="1"/>
    <col min="4" max="4" width="28.6640625" customWidth="1"/>
    <col min="11" max="11" width="11.109375" customWidth="1"/>
  </cols>
  <sheetData>
    <row r="3" spans="1:11" ht="21.6" customHeight="1" x14ac:dyDescent="0.3">
      <c r="A3" s="58" t="s">
        <v>286</v>
      </c>
      <c r="B3" s="50" t="s">
        <v>288</v>
      </c>
      <c r="C3" s="50" t="s">
        <v>347</v>
      </c>
      <c r="D3" s="64" t="s">
        <v>352</v>
      </c>
    </row>
    <row r="4" spans="1:11" ht="15.6" x14ac:dyDescent="0.3">
      <c r="A4" s="36" t="s">
        <v>298</v>
      </c>
      <c r="B4" s="37">
        <v>522</v>
      </c>
      <c r="C4" s="37">
        <v>208</v>
      </c>
      <c r="D4" s="49" t="str">
        <f>IF(B4&lt;=C4,"Below RO Level","Stock Level OK /High Stock")</f>
        <v>Stock Level OK /High Stock</v>
      </c>
      <c r="F4" s="118" t="s">
        <v>349</v>
      </c>
      <c r="G4" s="119"/>
      <c r="H4" s="120"/>
      <c r="I4" s="118" t="s">
        <v>350</v>
      </c>
      <c r="J4" s="120"/>
      <c r="K4" s="60" t="s">
        <v>351</v>
      </c>
    </row>
    <row r="5" spans="1:11" ht="15.6" x14ac:dyDescent="0.3">
      <c r="A5" s="57" t="s">
        <v>12</v>
      </c>
      <c r="B5" s="37">
        <v>236</v>
      </c>
      <c r="C5" s="37">
        <v>71</v>
      </c>
      <c r="D5" s="49" t="str">
        <f t="shared" ref="D5:D68" si="0">IF(B5&lt;=C5,"Below RO Level","Stock Level OK /High Stock")</f>
        <v>Stock Level OK /High Stock</v>
      </c>
      <c r="F5" s="112" t="s">
        <v>359</v>
      </c>
      <c r="G5" s="112"/>
      <c r="H5" s="112"/>
      <c r="I5" s="114">
        <f>COUNTIF(D4:D141,"Stock Level OK /High Stock")</f>
        <v>129</v>
      </c>
      <c r="J5" s="115"/>
      <c r="K5" s="62">
        <f>I5/(I5+I6)*100</f>
        <v>93.478260869565219</v>
      </c>
    </row>
    <row r="6" spans="1:11" ht="18" x14ac:dyDescent="0.35">
      <c r="A6" s="57" t="s">
        <v>26</v>
      </c>
      <c r="B6" s="37">
        <v>286</v>
      </c>
      <c r="C6" s="37">
        <v>137</v>
      </c>
      <c r="D6" s="49" t="str">
        <f t="shared" si="0"/>
        <v>Stock Level OK /High Stock</v>
      </c>
      <c r="F6" s="113" t="s">
        <v>348</v>
      </c>
      <c r="G6" s="113"/>
      <c r="H6" s="113"/>
      <c r="I6" s="116">
        <f>COUNTIF(D4:D141,"Below RO Level")</f>
        <v>9</v>
      </c>
      <c r="J6" s="117"/>
      <c r="K6" s="63">
        <f>I6/(I5+I6)*100</f>
        <v>6.5217391304347823</v>
      </c>
    </row>
    <row r="7" spans="1:11" x14ac:dyDescent="0.3">
      <c r="A7" s="36" t="s">
        <v>299</v>
      </c>
      <c r="B7" s="37">
        <v>432</v>
      </c>
      <c r="C7" s="37">
        <v>195</v>
      </c>
      <c r="D7" s="49" t="str">
        <f t="shared" si="0"/>
        <v>Stock Level OK /High Stock</v>
      </c>
    </row>
    <row r="8" spans="1:11" x14ac:dyDescent="0.3">
      <c r="A8" s="57" t="s">
        <v>12</v>
      </c>
      <c r="B8" s="37">
        <v>201</v>
      </c>
      <c r="C8" s="37">
        <v>103</v>
      </c>
      <c r="D8" s="49" t="str">
        <f t="shared" si="0"/>
        <v>Stock Level OK /High Stock</v>
      </c>
    </row>
    <row r="9" spans="1:11" x14ac:dyDescent="0.3">
      <c r="A9" s="57" t="s">
        <v>17</v>
      </c>
      <c r="B9" s="37">
        <v>231</v>
      </c>
      <c r="C9" s="37">
        <v>92</v>
      </c>
      <c r="D9" s="49" t="str">
        <f t="shared" si="0"/>
        <v>Stock Level OK /High Stock</v>
      </c>
    </row>
    <row r="10" spans="1:11" x14ac:dyDescent="0.3">
      <c r="A10" s="36" t="s">
        <v>300</v>
      </c>
      <c r="B10" s="37">
        <v>1211</v>
      </c>
      <c r="C10" s="37">
        <v>396</v>
      </c>
      <c r="D10" s="49" t="str">
        <f t="shared" si="0"/>
        <v>Stock Level OK /High Stock</v>
      </c>
    </row>
    <row r="11" spans="1:11" x14ac:dyDescent="0.3">
      <c r="A11" s="57" t="s">
        <v>12</v>
      </c>
      <c r="B11" s="37">
        <v>335</v>
      </c>
      <c r="C11" s="37">
        <v>109</v>
      </c>
      <c r="D11" s="49" t="str">
        <f t="shared" si="0"/>
        <v>Stock Level OK /High Stock</v>
      </c>
    </row>
    <row r="12" spans="1:11" x14ac:dyDescent="0.3">
      <c r="A12" s="57" t="s">
        <v>26</v>
      </c>
      <c r="B12" s="37">
        <v>541</v>
      </c>
      <c r="C12" s="37">
        <v>191</v>
      </c>
      <c r="D12" s="49" t="str">
        <f t="shared" si="0"/>
        <v>Stock Level OK /High Stock</v>
      </c>
    </row>
    <row r="13" spans="1:11" x14ac:dyDescent="0.3">
      <c r="A13" s="57" t="s">
        <v>17</v>
      </c>
      <c r="B13" s="37">
        <v>335</v>
      </c>
      <c r="C13" s="37">
        <v>96</v>
      </c>
      <c r="D13" s="49" t="str">
        <f t="shared" si="0"/>
        <v>Stock Level OK /High Stock</v>
      </c>
    </row>
    <row r="14" spans="1:11" x14ac:dyDescent="0.3">
      <c r="A14" s="36" t="s">
        <v>301</v>
      </c>
      <c r="B14" s="37">
        <v>1017</v>
      </c>
      <c r="C14" s="37">
        <v>250</v>
      </c>
      <c r="D14" s="49" t="str">
        <f t="shared" si="0"/>
        <v>Stock Level OK /High Stock</v>
      </c>
    </row>
    <row r="15" spans="1:11" x14ac:dyDescent="0.3">
      <c r="A15" s="57" t="s">
        <v>12</v>
      </c>
      <c r="B15" s="37">
        <v>611</v>
      </c>
      <c r="C15" s="37">
        <v>166</v>
      </c>
      <c r="D15" s="49" t="str">
        <f t="shared" si="0"/>
        <v>Stock Level OK /High Stock</v>
      </c>
    </row>
    <row r="16" spans="1:11" x14ac:dyDescent="0.3">
      <c r="A16" s="57" t="s">
        <v>26</v>
      </c>
      <c r="B16" s="37">
        <v>406</v>
      </c>
      <c r="C16" s="37">
        <v>84</v>
      </c>
      <c r="D16" s="49" t="str">
        <f t="shared" si="0"/>
        <v>Stock Level OK /High Stock</v>
      </c>
    </row>
    <row r="17" spans="1:4" x14ac:dyDescent="0.3">
      <c r="A17" s="36" t="s">
        <v>302</v>
      </c>
      <c r="B17" s="37">
        <v>464</v>
      </c>
      <c r="C17" s="37">
        <v>213</v>
      </c>
      <c r="D17" s="49" t="str">
        <f t="shared" si="0"/>
        <v>Stock Level OK /High Stock</v>
      </c>
    </row>
    <row r="18" spans="1:4" x14ac:dyDescent="0.3">
      <c r="A18" s="57" t="s">
        <v>12</v>
      </c>
      <c r="B18" s="37">
        <v>67</v>
      </c>
      <c r="C18" s="37">
        <v>26</v>
      </c>
      <c r="D18" s="49" t="str">
        <f t="shared" si="0"/>
        <v>Stock Level OK /High Stock</v>
      </c>
    </row>
    <row r="19" spans="1:4" x14ac:dyDescent="0.3">
      <c r="A19" s="57" t="s">
        <v>26</v>
      </c>
      <c r="B19" s="37">
        <v>358</v>
      </c>
      <c r="C19" s="37">
        <v>146</v>
      </c>
      <c r="D19" s="49" t="str">
        <f t="shared" si="0"/>
        <v>Stock Level OK /High Stock</v>
      </c>
    </row>
    <row r="20" spans="1:4" x14ac:dyDescent="0.3">
      <c r="A20" s="59" t="s">
        <v>17</v>
      </c>
      <c r="B20" s="37">
        <v>39</v>
      </c>
      <c r="C20" s="37">
        <v>41</v>
      </c>
      <c r="D20" s="50" t="str">
        <f t="shared" si="0"/>
        <v>Below RO Level</v>
      </c>
    </row>
    <row r="21" spans="1:4" x14ac:dyDescent="0.3">
      <c r="A21" s="36" t="s">
        <v>303</v>
      </c>
      <c r="B21" s="37">
        <v>809</v>
      </c>
      <c r="C21" s="37">
        <v>442</v>
      </c>
      <c r="D21" s="49" t="str">
        <f t="shared" si="0"/>
        <v>Stock Level OK /High Stock</v>
      </c>
    </row>
    <row r="22" spans="1:4" x14ac:dyDescent="0.3">
      <c r="A22" s="57" t="s">
        <v>12</v>
      </c>
      <c r="B22" s="37">
        <v>646</v>
      </c>
      <c r="C22" s="37">
        <v>266</v>
      </c>
      <c r="D22" s="49" t="str">
        <f t="shared" si="0"/>
        <v>Stock Level OK /High Stock</v>
      </c>
    </row>
    <row r="23" spans="1:4" x14ac:dyDescent="0.3">
      <c r="A23" s="57" t="s">
        <v>26</v>
      </c>
      <c r="B23" s="37">
        <v>88</v>
      </c>
      <c r="C23" s="37">
        <v>49</v>
      </c>
      <c r="D23" s="49" t="str">
        <f t="shared" si="0"/>
        <v>Stock Level OK /High Stock</v>
      </c>
    </row>
    <row r="24" spans="1:4" x14ac:dyDescent="0.3">
      <c r="A24" s="59" t="s">
        <v>17</v>
      </c>
      <c r="B24" s="37">
        <v>75</v>
      </c>
      <c r="C24" s="37">
        <v>127</v>
      </c>
      <c r="D24" s="50" t="str">
        <f t="shared" si="0"/>
        <v>Below RO Level</v>
      </c>
    </row>
    <row r="25" spans="1:4" x14ac:dyDescent="0.3">
      <c r="A25" s="36" t="s">
        <v>304</v>
      </c>
      <c r="B25" s="37">
        <v>897</v>
      </c>
      <c r="C25" s="37">
        <v>351</v>
      </c>
      <c r="D25" s="49" t="str">
        <f t="shared" si="0"/>
        <v>Stock Level OK /High Stock</v>
      </c>
    </row>
    <row r="26" spans="1:4" x14ac:dyDescent="0.3">
      <c r="A26" s="57" t="s">
        <v>12</v>
      </c>
      <c r="B26" s="37">
        <v>309</v>
      </c>
      <c r="C26" s="37">
        <v>151</v>
      </c>
      <c r="D26" s="49" t="str">
        <f t="shared" si="0"/>
        <v>Stock Level OK /High Stock</v>
      </c>
    </row>
    <row r="27" spans="1:4" x14ac:dyDescent="0.3">
      <c r="A27" s="57" t="s">
        <v>26</v>
      </c>
      <c r="B27" s="37">
        <v>218</v>
      </c>
      <c r="C27" s="37">
        <v>93</v>
      </c>
      <c r="D27" s="49" t="str">
        <f t="shared" si="0"/>
        <v>Stock Level OK /High Stock</v>
      </c>
    </row>
    <row r="28" spans="1:4" x14ac:dyDescent="0.3">
      <c r="A28" s="57" t="s">
        <v>17</v>
      </c>
      <c r="B28" s="37">
        <v>370</v>
      </c>
      <c r="C28" s="37">
        <v>107</v>
      </c>
      <c r="D28" s="49" t="str">
        <f t="shared" si="0"/>
        <v>Stock Level OK /High Stock</v>
      </c>
    </row>
    <row r="29" spans="1:4" x14ac:dyDescent="0.3">
      <c r="A29" s="36" t="s">
        <v>305</v>
      </c>
      <c r="B29" s="37">
        <v>1840</v>
      </c>
      <c r="C29" s="37">
        <v>444</v>
      </c>
      <c r="D29" s="49" t="str">
        <f t="shared" si="0"/>
        <v>Stock Level OK /High Stock</v>
      </c>
    </row>
    <row r="30" spans="1:4" x14ac:dyDescent="0.3">
      <c r="A30" s="57" t="s">
        <v>12</v>
      </c>
      <c r="B30" s="37">
        <v>725</v>
      </c>
      <c r="C30" s="37">
        <v>152</v>
      </c>
      <c r="D30" s="49" t="str">
        <f t="shared" si="0"/>
        <v>Stock Level OK /High Stock</v>
      </c>
    </row>
    <row r="31" spans="1:4" x14ac:dyDescent="0.3">
      <c r="A31" s="57" t="s">
        <v>26</v>
      </c>
      <c r="B31" s="37">
        <v>873</v>
      </c>
      <c r="C31" s="37">
        <v>248</v>
      </c>
      <c r="D31" s="49" t="str">
        <f t="shared" si="0"/>
        <v>Stock Level OK /High Stock</v>
      </c>
    </row>
    <row r="32" spans="1:4" x14ac:dyDescent="0.3">
      <c r="A32" s="57" t="s">
        <v>17</v>
      </c>
      <c r="B32" s="37">
        <v>242</v>
      </c>
      <c r="C32" s="37">
        <v>44</v>
      </c>
      <c r="D32" s="49" t="str">
        <f t="shared" si="0"/>
        <v>Stock Level OK /High Stock</v>
      </c>
    </row>
    <row r="33" spans="1:4" x14ac:dyDescent="0.3">
      <c r="A33" s="36" t="s">
        <v>306</v>
      </c>
      <c r="B33" s="37">
        <v>811</v>
      </c>
      <c r="C33" s="37">
        <v>208</v>
      </c>
      <c r="D33" s="49" t="str">
        <f t="shared" si="0"/>
        <v>Stock Level OK /High Stock</v>
      </c>
    </row>
    <row r="34" spans="1:4" x14ac:dyDescent="0.3">
      <c r="A34" s="57" t="s">
        <v>12</v>
      </c>
      <c r="B34" s="37">
        <v>181</v>
      </c>
      <c r="C34" s="37">
        <v>39</v>
      </c>
      <c r="D34" s="49" t="str">
        <f t="shared" si="0"/>
        <v>Stock Level OK /High Stock</v>
      </c>
    </row>
    <row r="35" spans="1:4" x14ac:dyDescent="0.3">
      <c r="A35" s="57" t="s">
        <v>26</v>
      </c>
      <c r="B35" s="37">
        <v>114</v>
      </c>
      <c r="C35" s="37">
        <v>49</v>
      </c>
      <c r="D35" s="49" t="str">
        <f t="shared" si="0"/>
        <v>Stock Level OK /High Stock</v>
      </c>
    </row>
    <row r="36" spans="1:4" x14ac:dyDescent="0.3">
      <c r="A36" s="57" t="s">
        <v>17</v>
      </c>
      <c r="B36" s="37">
        <v>516</v>
      </c>
      <c r="C36" s="37">
        <v>120</v>
      </c>
      <c r="D36" s="49" t="str">
        <f t="shared" si="0"/>
        <v>Stock Level OK /High Stock</v>
      </c>
    </row>
    <row r="37" spans="1:4" x14ac:dyDescent="0.3">
      <c r="A37" s="36" t="s">
        <v>307</v>
      </c>
      <c r="B37" s="37">
        <v>381</v>
      </c>
      <c r="C37" s="37">
        <v>228</v>
      </c>
      <c r="D37" s="49" t="str">
        <f t="shared" si="0"/>
        <v>Stock Level OK /High Stock</v>
      </c>
    </row>
    <row r="38" spans="1:4" x14ac:dyDescent="0.3">
      <c r="A38" s="57" t="s">
        <v>26</v>
      </c>
      <c r="B38" s="37">
        <v>231</v>
      </c>
      <c r="C38" s="37">
        <v>148</v>
      </c>
      <c r="D38" s="49" t="str">
        <f t="shared" si="0"/>
        <v>Stock Level OK /High Stock</v>
      </c>
    </row>
    <row r="39" spans="1:4" x14ac:dyDescent="0.3">
      <c r="A39" s="57" t="s">
        <v>17</v>
      </c>
      <c r="B39" s="37">
        <v>150</v>
      </c>
      <c r="C39" s="37">
        <v>80</v>
      </c>
      <c r="D39" s="49" t="str">
        <f t="shared" si="0"/>
        <v>Stock Level OK /High Stock</v>
      </c>
    </row>
    <row r="40" spans="1:4" x14ac:dyDescent="0.3">
      <c r="A40" s="36" t="s">
        <v>308</v>
      </c>
      <c r="B40" s="37">
        <v>1046</v>
      </c>
      <c r="C40" s="37">
        <v>379</v>
      </c>
      <c r="D40" s="49" t="str">
        <f t="shared" si="0"/>
        <v>Stock Level OK /High Stock</v>
      </c>
    </row>
    <row r="41" spans="1:4" x14ac:dyDescent="0.3">
      <c r="A41" s="57" t="s">
        <v>12</v>
      </c>
      <c r="B41" s="37">
        <v>323</v>
      </c>
      <c r="C41" s="37">
        <v>116</v>
      </c>
      <c r="D41" s="49" t="str">
        <f t="shared" si="0"/>
        <v>Stock Level OK /High Stock</v>
      </c>
    </row>
    <row r="42" spans="1:4" x14ac:dyDescent="0.3">
      <c r="A42" s="57" t="s">
        <v>26</v>
      </c>
      <c r="B42" s="37">
        <v>185</v>
      </c>
      <c r="C42" s="37">
        <v>122</v>
      </c>
      <c r="D42" s="49" t="str">
        <f t="shared" si="0"/>
        <v>Stock Level OK /High Stock</v>
      </c>
    </row>
    <row r="43" spans="1:4" x14ac:dyDescent="0.3">
      <c r="A43" s="57" t="s">
        <v>17</v>
      </c>
      <c r="B43" s="37">
        <v>538</v>
      </c>
      <c r="C43" s="37">
        <v>141</v>
      </c>
      <c r="D43" s="49" t="str">
        <f t="shared" si="0"/>
        <v>Stock Level OK /High Stock</v>
      </c>
    </row>
    <row r="44" spans="1:4" x14ac:dyDescent="0.3">
      <c r="A44" s="36" t="s">
        <v>309</v>
      </c>
      <c r="B44" s="37">
        <v>637</v>
      </c>
      <c r="C44" s="37">
        <v>304</v>
      </c>
      <c r="D44" s="49" t="str">
        <f t="shared" si="0"/>
        <v>Stock Level OK /High Stock</v>
      </c>
    </row>
    <row r="45" spans="1:4" x14ac:dyDescent="0.3">
      <c r="A45" s="57" t="s">
        <v>12</v>
      </c>
      <c r="B45" s="37">
        <v>425</v>
      </c>
      <c r="C45" s="37">
        <v>167</v>
      </c>
      <c r="D45" s="49" t="str">
        <f t="shared" si="0"/>
        <v>Stock Level OK /High Stock</v>
      </c>
    </row>
    <row r="46" spans="1:4" x14ac:dyDescent="0.3">
      <c r="A46" s="57" t="s">
        <v>26</v>
      </c>
      <c r="B46" s="37">
        <v>162</v>
      </c>
      <c r="C46" s="37">
        <v>65</v>
      </c>
      <c r="D46" s="49" t="str">
        <f t="shared" si="0"/>
        <v>Stock Level OK /High Stock</v>
      </c>
    </row>
    <row r="47" spans="1:4" x14ac:dyDescent="0.3">
      <c r="A47" s="59" t="s">
        <v>17</v>
      </c>
      <c r="B47" s="37">
        <v>50</v>
      </c>
      <c r="C47" s="37">
        <v>72</v>
      </c>
      <c r="D47" s="50" t="str">
        <f t="shared" si="0"/>
        <v>Below RO Level</v>
      </c>
    </row>
    <row r="48" spans="1:4" x14ac:dyDescent="0.3">
      <c r="A48" s="36" t="s">
        <v>310</v>
      </c>
      <c r="B48" s="37">
        <v>54</v>
      </c>
      <c r="C48" s="37">
        <v>24</v>
      </c>
      <c r="D48" s="49" t="str">
        <f t="shared" si="0"/>
        <v>Stock Level OK /High Stock</v>
      </c>
    </row>
    <row r="49" spans="1:4" x14ac:dyDescent="0.3">
      <c r="A49" s="57" t="s">
        <v>17</v>
      </c>
      <c r="B49" s="37">
        <v>54</v>
      </c>
      <c r="C49" s="37">
        <v>24</v>
      </c>
      <c r="D49" s="49" t="str">
        <f t="shared" si="0"/>
        <v>Stock Level OK /High Stock</v>
      </c>
    </row>
    <row r="50" spans="1:4" x14ac:dyDescent="0.3">
      <c r="A50" s="36" t="s">
        <v>311</v>
      </c>
      <c r="B50" s="37">
        <v>707</v>
      </c>
      <c r="C50" s="37">
        <v>199</v>
      </c>
      <c r="D50" s="49" t="str">
        <f t="shared" si="0"/>
        <v>Stock Level OK /High Stock</v>
      </c>
    </row>
    <row r="51" spans="1:4" x14ac:dyDescent="0.3">
      <c r="A51" s="57" t="s">
        <v>12</v>
      </c>
      <c r="B51" s="37">
        <v>308</v>
      </c>
      <c r="C51" s="37">
        <v>87</v>
      </c>
      <c r="D51" s="49" t="str">
        <f t="shared" si="0"/>
        <v>Stock Level OK /High Stock</v>
      </c>
    </row>
    <row r="52" spans="1:4" x14ac:dyDescent="0.3">
      <c r="A52" s="57" t="s">
        <v>26</v>
      </c>
      <c r="B52" s="37">
        <v>176</v>
      </c>
      <c r="C52" s="37">
        <v>86</v>
      </c>
      <c r="D52" s="49" t="str">
        <f t="shared" si="0"/>
        <v>Stock Level OK /High Stock</v>
      </c>
    </row>
    <row r="53" spans="1:4" x14ac:dyDescent="0.3">
      <c r="A53" s="57" t="s">
        <v>17</v>
      </c>
      <c r="B53" s="37">
        <v>223</v>
      </c>
      <c r="C53" s="37">
        <v>26</v>
      </c>
      <c r="D53" s="49" t="str">
        <f t="shared" si="0"/>
        <v>Stock Level OK /High Stock</v>
      </c>
    </row>
    <row r="54" spans="1:4" x14ac:dyDescent="0.3">
      <c r="A54" s="36" t="s">
        <v>312</v>
      </c>
      <c r="B54" s="37">
        <v>845</v>
      </c>
      <c r="C54" s="37">
        <v>315</v>
      </c>
      <c r="D54" s="49" t="str">
        <f t="shared" si="0"/>
        <v>Stock Level OK /High Stock</v>
      </c>
    </row>
    <row r="55" spans="1:4" x14ac:dyDescent="0.3">
      <c r="A55" s="57" t="s">
        <v>12</v>
      </c>
      <c r="B55" s="37">
        <v>390</v>
      </c>
      <c r="C55" s="37">
        <v>135</v>
      </c>
      <c r="D55" s="49" t="str">
        <f t="shared" si="0"/>
        <v>Stock Level OK /High Stock</v>
      </c>
    </row>
    <row r="56" spans="1:4" x14ac:dyDescent="0.3">
      <c r="A56" s="57" t="s">
        <v>17</v>
      </c>
      <c r="B56" s="37">
        <v>455</v>
      </c>
      <c r="C56" s="37">
        <v>180</v>
      </c>
      <c r="D56" s="49" t="str">
        <f t="shared" si="0"/>
        <v>Stock Level OK /High Stock</v>
      </c>
    </row>
    <row r="57" spans="1:4" x14ac:dyDescent="0.3">
      <c r="A57" s="36" t="s">
        <v>313</v>
      </c>
      <c r="B57" s="37">
        <v>546</v>
      </c>
      <c r="C57" s="37">
        <v>242</v>
      </c>
      <c r="D57" s="49" t="str">
        <f t="shared" si="0"/>
        <v>Stock Level OK /High Stock</v>
      </c>
    </row>
    <row r="58" spans="1:4" x14ac:dyDescent="0.3">
      <c r="A58" s="57" t="s">
        <v>12</v>
      </c>
      <c r="B58" s="37">
        <v>66</v>
      </c>
      <c r="C58" s="37">
        <v>30</v>
      </c>
      <c r="D58" s="49" t="str">
        <f t="shared" si="0"/>
        <v>Stock Level OK /High Stock</v>
      </c>
    </row>
    <row r="59" spans="1:4" x14ac:dyDescent="0.3">
      <c r="A59" s="57" t="s">
        <v>26</v>
      </c>
      <c r="B59" s="37">
        <v>241</v>
      </c>
      <c r="C59" s="37">
        <v>107</v>
      </c>
      <c r="D59" s="49" t="str">
        <f t="shared" si="0"/>
        <v>Stock Level OK /High Stock</v>
      </c>
    </row>
    <row r="60" spans="1:4" x14ac:dyDescent="0.3">
      <c r="A60" s="57" t="s">
        <v>17</v>
      </c>
      <c r="B60" s="37">
        <v>239</v>
      </c>
      <c r="C60" s="37">
        <v>105</v>
      </c>
      <c r="D60" s="49" t="str">
        <f t="shared" si="0"/>
        <v>Stock Level OK /High Stock</v>
      </c>
    </row>
    <row r="61" spans="1:4" x14ac:dyDescent="0.3">
      <c r="A61" s="36" t="s">
        <v>314</v>
      </c>
      <c r="B61" s="37">
        <v>713</v>
      </c>
      <c r="C61" s="37">
        <v>251</v>
      </c>
      <c r="D61" s="49" t="str">
        <f t="shared" si="0"/>
        <v>Stock Level OK /High Stock</v>
      </c>
    </row>
    <row r="62" spans="1:4" x14ac:dyDescent="0.3">
      <c r="A62" s="57" t="s">
        <v>12</v>
      </c>
      <c r="B62" s="37">
        <v>265</v>
      </c>
      <c r="C62" s="37">
        <v>94</v>
      </c>
      <c r="D62" s="49" t="str">
        <f t="shared" si="0"/>
        <v>Stock Level OK /High Stock</v>
      </c>
    </row>
    <row r="63" spans="1:4" x14ac:dyDescent="0.3">
      <c r="A63" s="57" t="s">
        <v>26</v>
      </c>
      <c r="B63" s="37">
        <v>92</v>
      </c>
      <c r="C63" s="37">
        <v>26</v>
      </c>
      <c r="D63" s="49" t="str">
        <f t="shared" si="0"/>
        <v>Stock Level OK /High Stock</v>
      </c>
    </row>
    <row r="64" spans="1:4" x14ac:dyDescent="0.3">
      <c r="A64" s="57" t="s">
        <v>17</v>
      </c>
      <c r="B64" s="37">
        <v>356</v>
      </c>
      <c r="C64" s="37">
        <v>131</v>
      </c>
      <c r="D64" s="49" t="str">
        <f t="shared" si="0"/>
        <v>Stock Level OK /High Stock</v>
      </c>
    </row>
    <row r="65" spans="1:4" x14ac:dyDescent="0.3">
      <c r="A65" s="36" t="s">
        <v>315</v>
      </c>
      <c r="B65" s="37">
        <v>683</v>
      </c>
      <c r="C65" s="37">
        <v>223</v>
      </c>
      <c r="D65" s="49" t="str">
        <f t="shared" si="0"/>
        <v>Stock Level OK /High Stock</v>
      </c>
    </row>
    <row r="66" spans="1:4" x14ac:dyDescent="0.3">
      <c r="A66" s="59" t="s">
        <v>12</v>
      </c>
      <c r="B66" s="37">
        <v>28</v>
      </c>
      <c r="C66" s="37">
        <v>43</v>
      </c>
      <c r="D66" s="50" t="str">
        <f t="shared" si="0"/>
        <v>Below RO Level</v>
      </c>
    </row>
    <row r="67" spans="1:4" x14ac:dyDescent="0.3">
      <c r="A67" s="57" t="s">
        <v>26</v>
      </c>
      <c r="B67" s="37">
        <v>410</v>
      </c>
      <c r="C67" s="37">
        <v>102</v>
      </c>
      <c r="D67" s="49" t="str">
        <f t="shared" si="0"/>
        <v>Stock Level OK /High Stock</v>
      </c>
    </row>
    <row r="68" spans="1:4" x14ac:dyDescent="0.3">
      <c r="A68" s="57" t="s">
        <v>17</v>
      </c>
      <c r="B68" s="37">
        <v>245</v>
      </c>
      <c r="C68" s="37">
        <v>78</v>
      </c>
      <c r="D68" s="49" t="str">
        <f t="shared" si="0"/>
        <v>Stock Level OK /High Stock</v>
      </c>
    </row>
    <row r="69" spans="1:4" x14ac:dyDescent="0.3">
      <c r="A69" s="36" t="s">
        <v>316</v>
      </c>
      <c r="B69" s="37">
        <v>621</v>
      </c>
      <c r="C69" s="37">
        <v>201</v>
      </c>
      <c r="D69" s="49" t="str">
        <f t="shared" ref="D69:D132" si="1">IF(B69&lt;=C69,"Below RO Level","Stock Level OK /High Stock")</f>
        <v>Stock Level OK /High Stock</v>
      </c>
    </row>
    <row r="70" spans="1:4" x14ac:dyDescent="0.3">
      <c r="A70" s="57" t="s">
        <v>12</v>
      </c>
      <c r="B70" s="37">
        <v>226</v>
      </c>
      <c r="C70" s="37">
        <v>30</v>
      </c>
      <c r="D70" s="49" t="str">
        <f t="shared" si="1"/>
        <v>Stock Level OK /High Stock</v>
      </c>
    </row>
    <row r="71" spans="1:4" x14ac:dyDescent="0.3">
      <c r="A71" s="57" t="s">
        <v>26</v>
      </c>
      <c r="B71" s="37">
        <v>395</v>
      </c>
      <c r="C71" s="37">
        <v>171</v>
      </c>
      <c r="D71" s="49" t="str">
        <f t="shared" si="1"/>
        <v>Stock Level OK /High Stock</v>
      </c>
    </row>
    <row r="72" spans="1:4" x14ac:dyDescent="0.3">
      <c r="A72" s="36" t="s">
        <v>317</v>
      </c>
      <c r="B72" s="37">
        <v>264</v>
      </c>
      <c r="C72" s="37">
        <v>158</v>
      </c>
      <c r="D72" s="49" t="str">
        <f t="shared" si="1"/>
        <v>Stock Level OK /High Stock</v>
      </c>
    </row>
    <row r="73" spans="1:4" x14ac:dyDescent="0.3">
      <c r="A73" s="57" t="s">
        <v>12</v>
      </c>
      <c r="B73" s="37">
        <v>147</v>
      </c>
      <c r="C73" s="37">
        <v>71</v>
      </c>
      <c r="D73" s="49" t="str">
        <f t="shared" si="1"/>
        <v>Stock Level OK /High Stock</v>
      </c>
    </row>
    <row r="74" spans="1:4" x14ac:dyDescent="0.3">
      <c r="A74" s="57" t="s">
        <v>26</v>
      </c>
      <c r="B74" s="37">
        <v>68</v>
      </c>
      <c r="C74" s="37">
        <v>62</v>
      </c>
      <c r="D74" s="49" t="str">
        <f t="shared" si="1"/>
        <v>Stock Level OK /High Stock</v>
      </c>
    </row>
    <row r="75" spans="1:4" x14ac:dyDescent="0.3">
      <c r="A75" s="57" t="s">
        <v>17</v>
      </c>
      <c r="B75" s="37">
        <v>49</v>
      </c>
      <c r="C75" s="37">
        <v>25</v>
      </c>
      <c r="D75" s="49" t="str">
        <f t="shared" si="1"/>
        <v>Stock Level OK /High Stock</v>
      </c>
    </row>
    <row r="76" spans="1:4" x14ac:dyDescent="0.3">
      <c r="A76" s="36" t="s">
        <v>318</v>
      </c>
      <c r="B76" s="37">
        <v>405</v>
      </c>
      <c r="C76" s="37">
        <v>186</v>
      </c>
      <c r="D76" s="49" t="str">
        <f t="shared" si="1"/>
        <v>Stock Level OK /High Stock</v>
      </c>
    </row>
    <row r="77" spans="1:4" x14ac:dyDescent="0.3">
      <c r="A77" s="57" t="s">
        <v>26</v>
      </c>
      <c r="B77" s="37">
        <v>388</v>
      </c>
      <c r="C77" s="37">
        <v>148</v>
      </c>
      <c r="D77" s="49" t="str">
        <f t="shared" si="1"/>
        <v>Stock Level OK /High Stock</v>
      </c>
    </row>
    <row r="78" spans="1:4" x14ac:dyDescent="0.3">
      <c r="A78" s="59" t="s">
        <v>17</v>
      </c>
      <c r="B78" s="37">
        <v>17</v>
      </c>
      <c r="C78" s="37">
        <v>38</v>
      </c>
      <c r="D78" s="50" t="str">
        <f t="shared" si="1"/>
        <v>Below RO Level</v>
      </c>
    </row>
    <row r="79" spans="1:4" x14ac:dyDescent="0.3">
      <c r="A79" s="36" t="s">
        <v>319</v>
      </c>
      <c r="B79" s="37">
        <v>704</v>
      </c>
      <c r="C79" s="37">
        <v>208</v>
      </c>
      <c r="D79" s="49" t="str">
        <f t="shared" si="1"/>
        <v>Stock Level OK /High Stock</v>
      </c>
    </row>
    <row r="80" spans="1:4" x14ac:dyDescent="0.3">
      <c r="A80" s="57" t="s">
        <v>12</v>
      </c>
      <c r="B80" s="37">
        <v>161</v>
      </c>
      <c r="C80" s="37">
        <v>52</v>
      </c>
      <c r="D80" s="49" t="str">
        <f t="shared" si="1"/>
        <v>Stock Level OK /High Stock</v>
      </c>
    </row>
    <row r="81" spans="1:4" x14ac:dyDescent="0.3">
      <c r="A81" s="57" t="s">
        <v>26</v>
      </c>
      <c r="B81" s="37">
        <v>386</v>
      </c>
      <c r="C81" s="37">
        <v>112</v>
      </c>
      <c r="D81" s="49" t="str">
        <f t="shared" si="1"/>
        <v>Stock Level OK /High Stock</v>
      </c>
    </row>
    <row r="82" spans="1:4" x14ac:dyDescent="0.3">
      <c r="A82" s="57" t="s">
        <v>17</v>
      </c>
      <c r="B82" s="37">
        <v>157</v>
      </c>
      <c r="C82" s="37">
        <v>44</v>
      </c>
      <c r="D82" s="49" t="str">
        <f t="shared" si="1"/>
        <v>Stock Level OK /High Stock</v>
      </c>
    </row>
    <row r="83" spans="1:4" x14ac:dyDescent="0.3">
      <c r="A83" s="36" t="s">
        <v>320</v>
      </c>
      <c r="B83" s="37">
        <v>171</v>
      </c>
      <c r="C83" s="37">
        <v>153</v>
      </c>
      <c r="D83" s="49" t="str">
        <f t="shared" si="1"/>
        <v>Stock Level OK /High Stock</v>
      </c>
    </row>
    <row r="84" spans="1:4" x14ac:dyDescent="0.3">
      <c r="A84" s="59" t="s">
        <v>12</v>
      </c>
      <c r="B84" s="37">
        <v>68</v>
      </c>
      <c r="C84" s="37">
        <v>116</v>
      </c>
      <c r="D84" s="50" t="str">
        <f t="shared" si="1"/>
        <v>Below RO Level</v>
      </c>
    </row>
    <row r="85" spans="1:4" x14ac:dyDescent="0.3">
      <c r="A85" s="57" t="s">
        <v>26</v>
      </c>
      <c r="B85" s="37">
        <v>103</v>
      </c>
      <c r="C85" s="37">
        <v>37</v>
      </c>
      <c r="D85" s="49" t="str">
        <f t="shared" si="1"/>
        <v>Stock Level OK /High Stock</v>
      </c>
    </row>
    <row r="86" spans="1:4" x14ac:dyDescent="0.3">
      <c r="A86" s="36" t="s">
        <v>321</v>
      </c>
      <c r="B86" s="37">
        <v>744</v>
      </c>
      <c r="C86" s="37">
        <v>275</v>
      </c>
      <c r="D86" s="49" t="str">
        <f t="shared" si="1"/>
        <v>Stock Level OK /High Stock</v>
      </c>
    </row>
    <row r="87" spans="1:4" x14ac:dyDescent="0.3">
      <c r="A87" s="57" t="s">
        <v>12</v>
      </c>
      <c r="B87" s="37">
        <v>327</v>
      </c>
      <c r="C87" s="37">
        <v>102</v>
      </c>
      <c r="D87" s="49" t="str">
        <f t="shared" si="1"/>
        <v>Stock Level OK /High Stock</v>
      </c>
    </row>
    <row r="88" spans="1:4" x14ac:dyDescent="0.3">
      <c r="A88" s="57" t="s">
        <v>26</v>
      </c>
      <c r="B88" s="37">
        <v>230</v>
      </c>
      <c r="C88" s="37">
        <v>101</v>
      </c>
      <c r="D88" s="49" t="str">
        <f t="shared" si="1"/>
        <v>Stock Level OK /High Stock</v>
      </c>
    </row>
    <row r="89" spans="1:4" x14ac:dyDescent="0.3">
      <c r="A89" s="57" t="s">
        <v>17</v>
      </c>
      <c r="B89" s="37">
        <v>187</v>
      </c>
      <c r="C89" s="37">
        <v>72</v>
      </c>
      <c r="D89" s="49" t="str">
        <f t="shared" si="1"/>
        <v>Stock Level OK /High Stock</v>
      </c>
    </row>
    <row r="90" spans="1:4" x14ac:dyDescent="0.3">
      <c r="A90" s="36" t="s">
        <v>322</v>
      </c>
      <c r="B90" s="37">
        <v>683</v>
      </c>
      <c r="C90" s="37">
        <v>190</v>
      </c>
      <c r="D90" s="49" t="str">
        <f t="shared" si="1"/>
        <v>Stock Level OK /High Stock</v>
      </c>
    </row>
    <row r="91" spans="1:4" x14ac:dyDescent="0.3">
      <c r="A91" s="57" t="s">
        <v>12</v>
      </c>
      <c r="B91" s="37">
        <v>353</v>
      </c>
      <c r="C91" s="37">
        <v>122</v>
      </c>
      <c r="D91" s="49" t="str">
        <f t="shared" si="1"/>
        <v>Stock Level OK /High Stock</v>
      </c>
    </row>
    <row r="92" spans="1:4" x14ac:dyDescent="0.3">
      <c r="A92" s="57" t="s">
        <v>26</v>
      </c>
      <c r="B92" s="37">
        <v>244</v>
      </c>
      <c r="C92" s="37">
        <v>47</v>
      </c>
      <c r="D92" s="49" t="str">
        <f t="shared" si="1"/>
        <v>Stock Level OK /High Stock</v>
      </c>
    </row>
    <row r="93" spans="1:4" x14ac:dyDescent="0.3">
      <c r="A93" s="57" t="s">
        <v>17</v>
      </c>
      <c r="B93" s="37">
        <v>86</v>
      </c>
      <c r="C93" s="37">
        <v>21</v>
      </c>
      <c r="D93" s="49" t="str">
        <f t="shared" si="1"/>
        <v>Stock Level OK /High Stock</v>
      </c>
    </row>
    <row r="94" spans="1:4" x14ac:dyDescent="0.3">
      <c r="A94" s="36" t="s">
        <v>323</v>
      </c>
      <c r="B94" s="37">
        <v>747</v>
      </c>
      <c r="C94" s="37">
        <v>269</v>
      </c>
      <c r="D94" s="49" t="str">
        <f t="shared" si="1"/>
        <v>Stock Level OK /High Stock</v>
      </c>
    </row>
    <row r="95" spans="1:4" x14ac:dyDescent="0.3">
      <c r="A95" s="57" t="s">
        <v>12</v>
      </c>
      <c r="B95" s="37">
        <v>343</v>
      </c>
      <c r="C95" s="37">
        <v>43</v>
      </c>
      <c r="D95" s="49" t="str">
        <f t="shared" si="1"/>
        <v>Stock Level OK /High Stock</v>
      </c>
    </row>
    <row r="96" spans="1:4" x14ac:dyDescent="0.3">
      <c r="A96" s="57" t="s">
        <v>26</v>
      </c>
      <c r="B96" s="37">
        <v>261</v>
      </c>
      <c r="C96" s="37">
        <v>182</v>
      </c>
      <c r="D96" s="49" t="str">
        <f t="shared" si="1"/>
        <v>Stock Level OK /High Stock</v>
      </c>
    </row>
    <row r="97" spans="1:4" x14ac:dyDescent="0.3">
      <c r="A97" s="57" t="s">
        <v>17</v>
      </c>
      <c r="B97" s="37">
        <v>143</v>
      </c>
      <c r="C97" s="37">
        <v>44</v>
      </c>
      <c r="D97" s="49" t="str">
        <f t="shared" si="1"/>
        <v>Stock Level OK /High Stock</v>
      </c>
    </row>
    <row r="98" spans="1:4" x14ac:dyDescent="0.3">
      <c r="A98" s="36" t="s">
        <v>324</v>
      </c>
      <c r="B98" s="37">
        <v>682</v>
      </c>
      <c r="C98" s="37">
        <v>208</v>
      </c>
      <c r="D98" s="49" t="str">
        <f t="shared" si="1"/>
        <v>Stock Level OK /High Stock</v>
      </c>
    </row>
    <row r="99" spans="1:4" x14ac:dyDescent="0.3">
      <c r="A99" s="57" t="s">
        <v>12</v>
      </c>
      <c r="B99" s="37">
        <v>211</v>
      </c>
      <c r="C99" s="37">
        <v>34</v>
      </c>
      <c r="D99" s="49" t="str">
        <f t="shared" si="1"/>
        <v>Stock Level OK /High Stock</v>
      </c>
    </row>
    <row r="100" spans="1:4" x14ac:dyDescent="0.3">
      <c r="A100" s="57" t="s">
        <v>26</v>
      </c>
      <c r="B100" s="37">
        <v>400</v>
      </c>
      <c r="C100" s="37">
        <v>104</v>
      </c>
      <c r="D100" s="49" t="str">
        <f t="shared" si="1"/>
        <v>Stock Level OK /High Stock</v>
      </c>
    </row>
    <row r="101" spans="1:4" x14ac:dyDescent="0.3">
      <c r="A101" s="57" t="s">
        <v>17</v>
      </c>
      <c r="B101" s="37">
        <v>71</v>
      </c>
      <c r="C101" s="37">
        <v>70</v>
      </c>
      <c r="D101" s="49" t="str">
        <f t="shared" si="1"/>
        <v>Stock Level OK /High Stock</v>
      </c>
    </row>
    <row r="102" spans="1:4" x14ac:dyDescent="0.3">
      <c r="A102" s="36" t="s">
        <v>325</v>
      </c>
      <c r="B102" s="37">
        <v>393</v>
      </c>
      <c r="C102" s="37">
        <v>346</v>
      </c>
      <c r="D102" s="49" t="str">
        <f t="shared" si="1"/>
        <v>Stock Level OK /High Stock</v>
      </c>
    </row>
    <row r="103" spans="1:4" x14ac:dyDescent="0.3">
      <c r="A103" s="57" t="s">
        <v>12</v>
      </c>
      <c r="B103" s="37">
        <v>177</v>
      </c>
      <c r="C103" s="37">
        <v>124</v>
      </c>
      <c r="D103" s="49" t="str">
        <f t="shared" si="1"/>
        <v>Stock Level OK /High Stock</v>
      </c>
    </row>
    <row r="104" spans="1:4" x14ac:dyDescent="0.3">
      <c r="A104" s="59" t="s">
        <v>26</v>
      </c>
      <c r="B104" s="37">
        <v>41</v>
      </c>
      <c r="C104" s="37">
        <v>77</v>
      </c>
      <c r="D104" s="50" t="str">
        <f t="shared" si="1"/>
        <v>Below RO Level</v>
      </c>
    </row>
    <row r="105" spans="1:4" x14ac:dyDescent="0.3">
      <c r="A105" s="57" t="s">
        <v>17</v>
      </c>
      <c r="B105" s="37">
        <v>175</v>
      </c>
      <c r="C105" s="37">
        <v>145</v>
      </c>
      <c r="D105" s="49" t="str">
        <f t="shared" si="1"/>
        <v>Stock Level OK /High Stock</v>
      </c>
    </row>
    <row r="106" spans="1:4" x14ac:dyDescent="0.3">
      <c r="A106" s="36" t="s">
        <v>326</v>
      </c>
      <c r="B106" s="37">
        <v>272</v>
      </c>
      <c r="C106" s="37">
        <v>149</v>
      </c>
      <c r="D106" s="49" t="str">
        <f t="shared" si="1"/>
        <v>Stock Level OK /High Stock</v>
      </c>
    </row>
    <row r="107" spans="1:4" x14ac:dyDescent="0.3">
      <c r="A107" s="57" t="s">
        <v>12</v>
      </c>
      <c r="B107" s="37">
        <v>169</v>
      </c>
      <c r="C107" s="37">
        <v>32</v>
      </c>
      <c r="D107" s="49" t="str">
        <f t="shared" si="1"/>
        <v>Stock Level OK /High Stock</v>
      </c>
    </row>
    <row r="108" spans="1:4" x14ac:dyDescent="0.3">
      <c r="A108" s="59" t="s">
        <v>26</v>
      </c>
      <c r="B108" s="37">
        <v>7</v>
      </c>
      <c r="C108" s="37">
        <v>43</v>
      </c>
      <c r="D108" s="50" t="str">
        <f t="shared" si="1"/>
        <v>Below RO Level</v>
      </c>
    </row>
    <row r="109" spans="1:4" x14ac:dyDescent="0.3">
      <c r="A109" s="57" t="s">
        <v>17</v>
      </c>
      <c r="B109" s="37">
        <v>96</v>
      </c>
      <c r="C109" s="37">
        <v>74</v>
      </c>
      <c r="D109" s="49" t="str">
        <f t="shared" si="1"/>
        <v>Stock Level OK /High Stock</v>
      </c>
    </row>
    <row r="110" spans="1:4" x14ac:dyDescent="0.3">
      <c r="A110" s="36" t="s">
        <v>327</v>
      </c>
      <c r="B110" s="37">
        <v>694</v>
      </c>
      <c r="C110" s="37">
        <v>444</v>
      </c>
      <c r="D110" s="49" t="str">
        <f t="shared" si="1"/>
        <v>Stock Level OK /High Stock</v>
      </c>
    </row>
    <row r="111" spans="1:4" x14ac:dyDescent="0.3">
      <c r="A111" s="57" t="s">
        <v>12</v>
      </c>
      <c r="B111" s="37">
        <v>262</v>
      </c>
      <c r="C111" s="37">
        <v>203</v>
      </c>
      <c r="D111" s="49" t="str">
        <f t="shared" si="1"/>
        <v>Stock Level OK /High Stock</v>
      </c>
    </row>
    <row r="112" spans="1:4" x14ac:dyDescent="0.3">
      <c r="A112" s="57" t="s">
        <v>26</v>
      </c>
      <c r="B112" s="37">
        <v>226</v>
      </c>
      <c r="C112" s="37">
        <v>121</v>
      </c>
      <c r="D112" s="49" t="str">
        <f t="shared" si="1"/>
        <v>Stock Level OK /High Stock</v>
      </c>
    </row>
    <row r="113" spans="1:4" x14ac:dyDescent="0.3">
      <c r="A113" s="57" t="s">
        <v>17</v>
      </c>
      <c r="B113" s="37">
        <v>206</v>
      </c>
      <c r="C113" s="37">
        <v>120</v>
      </c>
      <c r="D113" s="49" t="str">
        <f t="shared" si="1"/>
        <v>Stock Level OK /High Stock</v>
      </c>
    </row>
    <row r="114" spans="1:4" x14ac:dyDescent="0.3">
      <c r="A114" s="36" t="s">
        <v>328</v>
      </c>
      <c r="B114" s="37">
        <v>365</v>
      </c>
      <c r="C114" s="37">
        <v>68</v>
      </c>
      <c r="D114" s="49" t="str">
        <f t="shared" si="1"/>
        <v>Stock Level OK /High Stock</v>
      </c>
    </row>
    <row r="115" spans="1:4" x14ac:dyDescent="0.3">
      <c r="A115" s="57" t="s">
        <v>12</v>
      </c>
      <c r="B115" s="37">
        <v>63</v>
      </c>
      <c r="C115" s="37">
        <v>21</v>
      </c>
      <c r="D115" s="49" t="str">
        <f t="shared" si="1"/>
        <v>Stock Level OK /High Stock</v>
      </c>
    </row>
    <row r="116" spans="1:4" x14ac:dyDescent="0.3">
      <c r="A116" s="57" t="s">
        <v>26</v>
      </c>
      <c r="B116" s="37">
        <v>302</v>
      </c>
      <c r="C116" s="37">
        <v>47</v>
      </c>
      <c r="D116" s="49" t="str">
        <f t="shared" si="1"/>
        <v>Stock Level OK /High Stock</v>
      </c>
    </row>
    <row r="117" spans="1:4" x14ac:dyDescent="0.3">
      <c r="A117" s="36" t="s">
        <v>329</v>
      </c>
      <c r="B117" s="37">
        <v>783</v>
      </c>
      <c r="C117" s="37">
        <v>253</v>
      </c>
      <c r="D117" s="49" t="str">
        <f t="shared" si="1"/>
        <v>Stock Level OK /High Stock</v>
      </c>
    </row>
    <row r="118" spans="1:4" x14ac:dyDescent="0.3">
      <c r="A118" s="57" t="s">
        <v>12</v>
      </c>
      <c r="B118" s="37">
        <v>395</v>
      </c>
      <c r="C118" s="37">
        <v>110</v>
      </c>
      <c r="D118" s="49" t="str">
        <f t="shared" si="1"/>
        <v>Stock Level OK /High Stock</v>
      </c>
    </row>
    <row r="119" spans="1:4" x14ac:dyDescent="0.3">
      <c r="A119" s="57" t="s">
        <v>17</v>
      </c>
      <c r="B119" s="37">
        <v>388</v>
      </c>
      <c r="C119" s="37">
        <v>143</v>
      </c>
      <c r="D119" s="49" t="str">
        <f t="shared" si="1"/>
        <v>Stock Level OK /High Stock</v>
      </c>
    </row>
    <row r="120" spans="1:4" x14ac:dyDescent="0.3">
      <c r="A120" s="36" t="s">
        <v>330</v>
      </c>
      <c r="B120" s="37">
        <v>601</v>
      </c>
      <c r="C120" s="37">
        <v>229</v>
      </c>
      <c r="D120" s="49" t="str">
        <f t="shared" si="1"/>
        <v>Stock Level OK /High Stock</v>
      </c>
    </row>
    <row r="121" spans="1:4" x14ac:dyDescent="0.3">
      <c r="A121" s="57" t="s">
        <v>12</v>
      </c>
      <c r="B121" s="37">
        <v>239</v>
      </c>
      <c r="C121" s="37">
        <v>66</v>
      </c>
      <c r="D121" s="49" t="str">
        <f t="shared" si="1"/>
        <v>Stock Level OK /High Stock</v>
      </c>
    </row>
    <row r="122" spans="1:4" x14ac:dyDescent="0.3">
      <c r="A122" s="57" t="s">
        <v>26</v>
      </c>
      <c r="B122" s="37">
        <v>362</v>
      </c>
      <c r="C122" s="37">
        <v>163</v>
      </c>
      <c r="D122" s="49" t="str">
        <f t="shared" si="1"/>
        <v>Stock Level OK /High Stock</v>
      </c>
    </row>
    <row r="123" spans="1:4" x14ac:dyDescent="0.3">
      <c r="A123" s="36" t="s">
        <v>331</v>
      </c>
      <c r="B123" s="37">
        <v>838</v>
      </c>
      <c r="C123" s="37">
        <v>336</v>
      </c>
      <c r="D123" s="49" t="str">
        <f t="shared" si="1"/>
        <v>Stock Level OK /High Stock</v>
      </c>
    </row>
    <row r="124" spans="1:4" x14ac:dyDescent="0.3">
      <c r="A124" s="57" t="s">
        <v>12</v>
      </c>
      <c r="B124" s="37">
        <v>370</v>
      </c>
      <c r="C124" s="37">
        <v>155</v>
      </c>
      <c r="D124" s="49" t="str">
        <f t="shared" si="1"/>
        <v>Stock Level OK /High Stock</v>
      </c>
    </row>
    <row r="125" spans="1:4" x14ac:dyDescent="0.3">
      <c r="A125" s="57" t="s">
        <v>26</v>
      </c>
      <c r="B125" s="37">
        <v>468</v>
      </c>
      <c r="C125" s="37">
        <v>181</v>
      </c>
      <c r="D125" s="49" t="str">
        <f t="shared" si="1"/>
        <v>Stock Level OK /High Stock</v>
      </c>
    </row>
    <row r="126" spans="1:4" x14ac:dyDescent="0.3">
      <c r="A126" s="36" t="s">
        <v>332</v>
      </c>
      <c r="B126" s="37">
        <v>150</v>
      </c>
      <c r="C126" s="37">
        <v>77</v>
      </c>
      <c r="D126" s="49" t="str">
        <f t="shared" si="1"/>
        <v>Stock Level OK /High Stock</v>
      </c>
    </row>
    <row r="127" spans="1:4" x14ac:dyDescent="0.3">
      <c r="A127" s="57" t="s">
        <v>26</v>
      </c>
      <c r="B127" s="37">
        <v>150</v>
      </c>
      <c r="C127" s="37">
        <v>77</v>
      </c>
      <c r="D127" s="49" t="str">
        <f t="shared" si="1"/>
        <v>Stock Level OK /High Stock</v>
      </c>
    </row>
    <row r="128" spans="1:4" x14ac:dyDescent="0.3">
      <c r="A128" s="36" t="s">
        <v>333</v>
      </c>
      <c r="B128" s="37">
        <v>1005</v>
      </c>
      <c r="C128" s="37">
        <v>265</v>
      </c>
      <c r="D128" s="49" t="str">
        <f t="shared" si="1"/>
        <v>Stock Level OK /High Stock</v>
      </c>
    </row>
    <row r="129" spans="1:4" x14ac:dyDescent="0.3">
      <c r="A129" s="57" t="s">
        <v>12</v>
      </c>
      <c r="B129" s="37">
        <v>115</v>
      </c>
      <c r="C129" s="37">
        <v>31</v>
      </c>
      <c r="D129" s="49" t="str">
        <f t="shared" si="1"/>
        <v>Stock Level OK /High Stock</v>
      </c>
    </row>
    <row r="130" spans="1:4" x14ac:dyDescent="0.3">
      <c r="A130" s="57" t="s">
        <v>26</v>
      </c>
      <c r="B130" s="37">
        <v>341</v>
      </c>
      <c r="C130" s="37">
        <v>108</v>
      </c>
      <c r="D130" s="49" t="str">
        <f t="shared" si="1"/>
        <v>Stock Level OK /High Stock</v>
      </c>
    </row>
    <row r="131" spans="1:4" x14ac:dyDescent="0.3">
      <c r="A131" s="57" t="s">
        <v>17</v>
      </c>
      <c r="B131" s="37">
        <v>549</v>
      </c>
      <c r="C131" s="37">
        <v>126</v>
      </c>
      <c r="D131" s="49" t="str">
        <f t="shared" si="1"/>
        <v>Stock Level OK /High Stock</v>
      </c>
    </row>
    <row r="132" spans="1:4" x14ac:dyDescent="0.3">
      <c r="A132" s="36" t="s">
        <v>334</v>
      </c>
      <c r="B132" s="37">
        <v>444</v>
      </c>
      <c r="C132" s="37">
        <v>341</v>
      </c>
      <c r="D132" s="49" t="str">
        <f t="shared" si="1"/>
        <v>Stock Level OK /High Stock</v>
      </c>
    </row>
    <row r="133" spans="1:4" x14ac:dyDescent="0.3">
      <c r="A133" s="57" t="s">
        <v>12</v>
      </c>
      <c r="B133" s="37">
        <v>125</v>
      </c>
      <c r="C133" s="37">
        <v>54</v>
      </c>
      <c r="D133" s="49" t="str">
        <f t="shared" ref="D133:D141" si="2">IF(B133&lt;=C133,"Below RO Level","Stock Level OK /High Stock")</f>
        <v>Stock Level OK /High Stock</v>
      </c>
    </row>
    <row r="134" spans="1:4" x14ac:dyDescent="0.3">
      <c r="A134" s="59" t="s">
        <v>26</v>
      </c>
      <c r="B134" s="37">
        <v>61</v>
      </c>
      <c r="C134" s="37">
        <v>163</v>
      </c>
      <c r="D134" s="50" t="str">
        <f t="shared" si="2"/>
        <v>Below RO Level</v>
      </c>
    </row>
    <row r="135" spans="1:4" x14ac:dyDescent="0.3">
      <c r="A135" s="57" t="s">
        <v>17</v>
      </c>
      <c r="B135" s="37">
        <v>258</v>
      </c>
      <c r="C135" s="37">
        <v>124</v>
      </c>
      <c r="D135" s="49" t="str">
        <f t="shared" si="2"/>
        <v>Stock Level OK /High Stock</v>
      </c>
    </row>
    <row r="136" spans="1:4" x14ac:dyDescent="0.3">
      <c r="A136" s="36" t="s">
        <v>335</v>
      </c>
      <c r="B136" s="37">
        <v>738</v>
      </c>
      <c r="C136" s="37">
        <v>241</v>
      </c>
      <c r="D136" s="49" t="str">
        <f t="shared" si="2"/>
        <v>Stock Level OK /High Stock</v>
      </c>
    </row>
    <row r="137" spans="1:4" x14ac:dyDescent="0.3">
      <c r="A137" s="57" t="s">
        <v>26</v>
      </c>
      <c r="B137" s="37">
        <v>171</v>
      </c>
      <c r="C137" s="37">
        <v>26</v>
      </c>
      <c r="D137" s="49" t="str">
        <f t="shared" si="2"/>
        <v>Stock Level OK /High Stock</v>
      </c>
    </row>
    <row r="138" spans="1:4" x14ac:dyDescent="0.3">
      <c r="A138" s="57" t="s">
        <v>17</v>
      </c>
      <c r="B138" s="37">
        <v>567</v>
      </c>
      <c r="C138" s="37">
        <v>215</v>
      </c>
      <c r="D138" s="49" t="str">
        <f t="shared" si="2"/>
        <v>Stock Level OK /High Stock</v>
      </c>
    </row>
    <row r="139" spans="1:4" x14ac:dyDescent="0.3">
      <c r="A139" s="36" t="s">
        <v>336</v>
      </c>
      <c r="B139" s="37">
        <v>810</v>
      </c>
      <c r="C139" s="37">
        <v>240</v>
      </c>
      <c r="D139" s="49" t="str">
        <f t="shared" si="2"/>
        <v>Stock Level OK /High Stock</v>
      </c>
    </row>
    <row r="140" spans="1:4" x14ac:dyDescent="0.3">
      <c r="A140" s="57" t="s">
        <v>26</v>
      </c>
      <c r="B140" s="37">
        <v>331</v>
      </c>
      <c r="C140" s="37">
        <v>93</v>
      </c>
      <c r="D140" s="49" t="str">
        <f t="shared" si="2"/>
        <v>Stock Level OK /High Stock</v>
      </c>
    </row>
    <row r="141" spans="1:4" x14ac:dyDescent="0.3">
      <c r="A141" s="57" t="s">
        <v>17</v>
      </c>
      <c r="B141" s="37">
        <v>479</v>
      </c>
      <c r="C141" s="37">
        <v>147</v>
      </c>
      <c r="D141" s="49" t="str">
        <f t="shared" si="2"/>
        <v>Stock Level OK /High Stock</v>
      </c>
    </row>
    <row r="142" spans="1:4" x14ac:dyDescent="0.3">
      <c r="A142" s="36" t="s">
        <v>287</v>
      </c>
      <c r="B142" s="37">
        <v>25729</v>
      </c>
      <c r="C142" s="37">
        <v>9709</v>
      </c>
      <c r="D142" s="49"/>
    </row>
  </sheetData>
  <mergeCells count="6">
    <mergeCell ref="F5:H5"/>
    <mergeCell ref="F6:H6"/>
    <mergeCell ref="I5:J5"/>
    <mergeCell ref="I6:J6"/>
    <mergeCell ref="F4:H4"/>
    <mergeCell ref="I4:J4"/>
  </mergeCells>
  <conditionalFormatting sqref="D4:D141">
    <cfRule type="containsText" dxfId="0" priority="1" operator="containsText" text="Below RO Level">
      <formula>NOT(ISERROR(SEARCH("Below RO Level",D4)))</formula>
    </cfRule>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C42F5-6F5D-4F6F-ABE2-DA3C0D50A786}">
  <dimension ref="A3:B21"/>
  <sheetViews>
    <sheetView workbookViewId="0">
      <selection activeCell="B11" sqref="B11"/>
    </sheetView>
  </sheetViews>
  <sheetFormatPr defaultRowHeight="14.4" x14ac:dyDescent="0.3"/>
  <cols>
    <col min="1" max="1" width="15.6640625" bestFit="1" customWidth="1"/>
    <col min="2" max="2" width="33.44140625" bestFit="1" customWidth="1"/>
  </cols>
  <sheetData>
    <row r="3" spans="1:2" ht="15.6" x14ac:dyDescent="0.3">
      <c r="A3" s="42" t="s">
        <v>286</v>
      </c>
      <c r="B3" s="43" t="s">
        <v>289</v>
      </c>
    </row>
    <row r="4" spans="1:2" ht="15.6" x14ac:dyDescent="0.3">
      <c r="A4" s="46" t="s">
        <v>353</v>
      </c>
      <c r="B4" s="69">
        <v>607393</v>
      </c>
    </row>
    <row r="5" spans="1:2" ht="15.6" x14ac:dyDescent="0.3">
      <c r="A5" s="68" t="s">
        <v>292</v>
      </c>
      <c r="B5" s="69">
        <v>294529</v>
      </c>
    </row>
    <row r="6" spans="1:2" ht="15.6" x14ac:dyDescent="0.3">
      <c r="A6" s="68" t="s">
        <v>293</v>
      </c>
      <c r="B6" s="69">
        <v>312864</v>
      </c>
    </row>
    <row r="7" spans="1:2" ht="15.6" x14ac:dyDescent="0.3">
      <c r="A7" s="46" t="s">
        <v>354</v>
      </c>
      <c r="B7" s="69">
        <v>1296127</v>
      </c>
    </row>
    <row r="8" spans="1:2" ht="15.6" x14ac:dyDescent="0.3">
      <c r="A8" s="68" t="s">
        <v>290</v>
      </c>
      <c r="B8" s="69">
        <v>166056</v>
      </c>
    </row>
    <row r="9" spans="1:2" ht="15.6" x14ac:dyDescent="0.3">
      <c r="A9" s="68" t="s">
        <v>291</v>
      </c>
      <c r="B9" s="69">
        <v>385398</v>
      </c>
    </row>
    <row r="10" spans="1:2" ht="15.6" x14ac:dyDescent="0.3">
      <c r="A10" s="68" t="s">
        <v>292</v>
      </c>
      <c r="B10" s="69">
        <v>744673</v>
      </c>
    </row>
    <row r="11" spans="1:2" ht="15.6" x14ac:dyDescent="0.3">
      <c r="A11" s="46" t="s">
        <v>355</v>
      </c>
      <c r="B11" s="70">
        <v>3577570</v>
      </c>
    </row>
    <row r="12" spans="1:2" ht="15.6" x14ac:dyDescent="0.3">
      <c r="A12" s="71" t="s">
        <v>290</v>
      </c>
      <c r="B12" s="72">
        <v>1498663</v>
      </c>
    </row>
    <row r="13" spans="1:2" ht="15.6" x14ac:dyDescent="0.3">
      <c r="A13" s="71" t="s">
        <v>291</v>
      </c>
      <c r="B13" s="72">
        <v>1184389</v>
      </c>
    </row>
    <row r="14" spans="1:2" ht="15.6" x14ac:dyDescent="0.3">
      <c r="A14" s="68" t="s">
        <v>292</v>
      </c>
      <c r="B14" s="69">
        <v>218012</v>
      </c>
    </row>
    <row r="15" spans="1:2" ht="15.6" x14ac:dyDescent="0.3">
      <c r="A15" s="68" t="s">
        <v>293</v>
      </c>
      <c r="B15" s="69">
        <v>676506</v>
      </c>
    </row>
    <row r="16" spans="1:2" ht="15.6" x14ac:dyDescent="0.3">
      <c r="A16" s="46" t="s">
        <v>356</v>
      </c>
      <c r="B16" s="70">
        <v>1665727</v>
      </c>
    </row>
    <row r="17" spans="1:2" ht="15.6" x14ac:dyDescent="0.3">
      <c r="A17" s="68" t="s">
        <v>290</v>
      </c>
      <c r="B17" s="69">
        <v>402416</v>
      </c>
    </row>
    <row r="18" spans="1:2" ht="15.6" x14ac:dyDescent="0.3">
      <c r="A18" s="68" t="s">
        <v>291</v>
      </c>
      <c r="B18" s="69">
        <v>191244</v>
      </c>
    </row>
    <row r="19" spans="1:2" ht="15.6" x14ac:dyDescent="0.3">
      <c r="A19" s="68" t="s">
        <v>292</v>
      </c>
      <c r="B19" s="69">
        <v>840932</v>
      </c>
    </row>
    <row r="20" spans="1:2" ht="15.6" x14ac:dyDescent="0.3">
      <c r="A20" s="68" t="s">
        <v>293</v>
      </c>
      <c r="B20" s="69">
        <v>231135</v>
      </c>
    </row>
    <row r="21" spans="1:2" ht="15.6" x14ac:dyDescent="0.3">
      <c r="A21" s="46" t="s">
        <v>287</v>
      </c>
      <c r="B21" s="69">
        <v>7146817</v>
      </c>
    </row>
  </sheetData>
  <conditionalFormatting pivot="1" sqref="B4 B5:B6 B7 B8:B10 B11 B12:B15 B16 B17:B20">
    <cfRule type="cellIs" dxfId="74" priority="1" operator="greaterThan">
      <formula>1500000</formula>
    </cfRule>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726B4-C259-407F-A422-269FEFD8A8B0}">
  <dimension ref="A3:B7"/>
  <sheetViews>
    <sheetView workbookViewId="0">
      <selection activeCell="B10" sqref="B10"/>
    </sheetView>
  </sheetViews>
  <sheetFormatPr defaultRowHeight="14.4" x14ac:dyDescent="0.3"/>
  <cols>
    <col min="1" max="1" width="16.77734375" customWidth="1"/>
    <col min="2" max="2" width="21.33203125" customWidth="1"/>
    <col min="3" max="3" width="4.44140625" bestFit="1" customWidth="1"/>
    <col min="4" max="4" width="8.109375" bestFit="1" customWidth="1"/>
    <col min="5" max="5" width="10.77734375" bestFit="1" customWidth="1"/>
  </cols>
  <sheetData>
    <row r="3" spans="1:2" ht="15.6" x14ac:dyDescent="0.3">
      <c r="A3" s="42" t="s">
        <v>286</v>
      </c>
      <c r="B3" s="43" t="s">
        <v>297</v>
      </c>
    </row>
    <row r="4" spans="1:2" ht="15.6" x14ac:dyDescent="0.3">
      <c r="A4" s="44" t="s">
        <v>294</v>
      </c>
      <c r="B4" s="45">
        <v>70</v>
      </c>
    </row>
    <row r="5" spans="1:2" ht="15.6" x14ac:dyDescent="0.3">
      <c r="A5" s="46" t="s">
        <v>295</v>
      </c>
      <c r="B5" s="47">
        <v>75</v>
      </c>
    </row>
    <row r="6" spans="1:2" ht="15.6" x14ac:dyDescent="0.3">
      <c r="A6" s="46" t="s">
        <v>296</v>
      </c>
      <c r="B6" s="47">
        <v>55</v>
      </c>
    </row>
    <row r="7" spans="1:2" ht="15.6" x14ac:dyDescent="0.3">
      <c r="A7" s="46" t="s">
        <v>287</v>
      </c>
      <c r="B7" s="47">
        <v>200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B9996-AD1F-4189-9B56-B065BE11024B}">
  <dimension ref="A2:K44"/>
  <sheetViews>
    <sheetView zoomScale="83" zoomScaleNormal="83" workbookViewId="0">
      <selection activeCell="N27" sqref="N27"/>
    </sheetView>
  </sheetViews>
  <sheetFormatPr defaultRowHeight="14.4" x14ac:dyDescent="0.3"/>
  <cols>
    <col min="1" max="1" width="25.21875" bestFit="1" customWidth="1"/>
    <col min="2" max="2" width="15.5546875" bestFit="1" customWidth="1"/>
    <col min="3" max="4" width="12" bestFit="1" customWidth="1"/>
    <col min="5" max="5" width="10.77734375" bestFit="1" customWidth="1"/>
    <col min="6" max="6" width="15.5546875" bestFit="1" customWidth="1"/>
    <col min="7" max="7" width="17.77734375" customWidth="1"/>
    <col min="8" max="8" width="21.6640625" customWidth="1"/>
    <col min="9" max="9" width="21.88671875" customWidth="1"/>
    <col min="10" max="10" width="25.33203125" customWidth="1"/>
    <col min="11" max="39" width="15.5546875" bestFit="1" customWidth="1"/>
    <col min="40" max="40" width="10.77734375" bestFit="1" customWidth="1"/>
  </cols>
  <sheetData>
    <row r="2" spans="1:11" ht="15" thickBot="1" x14ac:dyDescent="0.35"/>
    <row r="3" spans="1:11" ht="15.6" x14ac:dyDescent="0.3">
      <c r="A3" s="65" t="s">
        <v>358</v>
      </c>
      <c r="B3" s="65" t="s">
        <v>357</v>
      </c>
      <c r="G3" s="82" t="s">
        <v>378</v>
      </c>
      <c r="H3" s="83" t="s">
        <v>363</v>
      </c>
      <c r="I3" s="83" t="s">
        <v>364</v>
      </c>
      <c r="J3" s="84" t="s">
        <v>365</v>
      </c>
    </row>
    <row r="4" spans="1:11" x14ac:dyDescent="0.3">
      <c r="A4" s="34" t="s">
        <v>286</v>
      </c>
      <c r="B4" s="35" t="s">
        <v>294</v>
      </c>
      <c r="C4" s="35" t="s">
        <v>295</v>
      </c>
      <c r="D4" s="35" t="s">
        <v>296</v>
      </c>
      <c r="E4" s="35" t="s">
        <v>287</v>
      </c>
      <c r="G4" s="85" t="s">
        <v>360</v>
      </c>
      <c r="H4" s="79">
        <v>2</v>
      </c>
      <c r="I4" s="80">
        <v>6</v>
      </c>
      <c r="J4" s="86">
        <v>4</v>
      </c>
    </row>
    <row r="5" spans="1:11" x14ac:dyDescent="0.3">
      <c r="A5" s="36" t="s">
        <v>298</v>
      </c>
      <c r="B5" s="73"/>
      <c r="C5" s="73">
        <v>19</v>
      </c>
      <c r="D5" s="73"/>
      <c r="E5" s="73">
        <v>19</v>
      </c>
      <c r="G5" s="87" t="s">
        <v>361</v>
      </c>
      <c r="H5" s="80">
        <v>6</v>
      </c>
      <c r="I5" s="81">
        <v>3</v>
      </c>
      <c r="J5" s="88">
        <v>5</v>
      </c>
    </row>
    <row r="6" spans="1:11" ht="15" thickBot="1" x14ac:dyDescent="0.35">
      <c r="A6" s="36" t="s">
        <v>299</v>
      </c>
      <c r="B6" s="73"/>
      <c r="C6" s="73"/>
      <c r="D6" s="73">
        <v>7</v>
      </c>
      <c r="E6" s="73">
        <v>7</v>
      </c>
      <c r="G6" s="89" t="s">
        <v>362</v>
      </c>
      <c r="H6" s="90">
        <v>6</v>
      </c>
      <c r="I6" s="91">
        <v>6</v>
      </c>
      <c r="J6" s="92">
        <v>1</v>
      </c>
    </row>
    <row r="7" spans="1:11" ht="15" thickBot="1" x14ac:dyDescent="0.35">
      <c r="A7" s="36" t="s">
        <v>300</v>
      </c>
      <c r="B7" s="73">
        <v>19</v>
      </c>
      <c r="C7" s="73"/>
      <c r="D7" s="73"/>
      <c r="E7" s="73">
        <v>19</v>
      </c>
    </row>
    <row r="8" spans="1:11" ht="28.8" x14ac:dyDescent="0.3">
      <c r="A8" s="36" t="s">
        <v>301</v>
      </c>
      <c r="B8" s="73"/>
      <c r="C8" s="73">
        <v>6</v>
      </c>
      <c r="D8" s="73"/>
      <c r="E8" s="73">
        <v>6</v>
      </c>
      <c r="G8" s="93" t="s">
        <v>376</v>
      </c>
      <c r="H8" s="94" t="s">
        <v>377</v>
      </c>
      <c r="I8" s="95" t="s">
        <v>379</v>
      </c>
      <c r="J8" s="96" t="s">
        <v>380</v>
      </c>
    </row>
    <row r="9" spans="1:11" ht="14.4" customHeight="1" x14ac:dyDescent="0.3">
      <c r="A9" s="36" t="s">
        <v>302</v>
      </c>
      <c r="B9" s="73"/>
      <c r="C9" s="73">
        <v>27</v>
      </c>
      <c r="D9" s="73"/>
      <c r="E9" s="73">
        <v>27</v>
      </c>
      <c r="G9" s="121" t="s">
        <v>382</v>
      </c>
      <c r="H9" s="123">
        <v>6</v>
      </c>
      <c r="I9" s="125">
        <v>23</v>
      </c>
      <c r="J9" s="127">
        <v>10</v>
      </c>
      <c r="K9" s="76"/>
    </row>
    <row r="10" spans="1:11" ht="15" customHeight="1" thickBot="1" x14ac:dyDescent="0.35">
      <c r="A10" s="36" t="s">
        <v>303</v>
      </c>
      <c r="B10" s="73"/>
      <c r="C10" s="73"/>
      <c r="D10" s="73">
        <v>4</v>
      </c>
      <c r="E10" s="73">
        <v>4</v>
      </c>
      <c r="G10" s="122"/>
      <c r="H10" s="124"/>
      <c r="I10" s="126"/>
      <c r="J10" s="128"/>
      <c r="K10" s="76"/>
    </row>
    <row r="11" spans="1:11" x14ac:dyDescent="0.3">
      <c r="A11" s="36" t="s">
        <v>304</v>
      </c>
      <c r="B11" s="73"/>
      <c r="C11" s="73">
        <v>6</v>
      </c>
      <c r="D11" s="73"/>
      <c r="E11" s="73">
        <v>6</v>
      </c>
      <c r="G11" s="74"/>
      <c r="H11" s="75"/>
      <c r="I11" s="75"/>
      <c r="J11" s="75"/>
      <c r="K11" s="76"/>
    </row>
    <row r="12" spans="1:11" x14ac:dyDescent="0.3">
      <c r="A12" s="36" t="s">
        <v>305</v>
      </c>
      <c r="B12" s="73">
        <v>19</v>
      </c>
      <c r="C12" s="73"/>
      <c r="D12" s="73"/>
      <c r="E12" s="73">
        <v>19</v>
      </c>
      <c r="G12" s="67"/>
      <c r="H12" s="67"/>
      <c r="I12" s="67"/>
      <c r="J12" s="67"/>
    </row>
    <row r="13" spans="1:11" x14ac:dyDescent="0.3">
      <c r="A13" s="36" t="s">
        <v>306</v>
      </c>
      <c r="B13" s="73"/>
      <c r="C13" s="73">
        <v>27</v>
      </c>
      <c r="D13" s="73"/>
      <c r="E13" s="73">
        <v>27</v>
      </c>
      <c r="G13" s="67"/>
      <c r="H13" s="67"/>
      <c r="I13" s="67"/>
      <c r="J13" s="67"/>
    </row>
    <row r="14" spans="1:11" x14ac:dyDescent="0.3">
      <c r="A14" s="36" t="s">
        <v>307</v>
      </c>
      <c r="B14" s="73">
        <v>19</v>
      </c>
      <c r="C14" s="73"/>
      <c r="D14" s="73"/>
      <c r="E14" s="73">
        <v>19</v>
      </c>
    </row>
    <row r="15" spans="1:11" x14ac:dyDescent="0.3">
      <c r="A15" s="36" t="s">
        <v>308</v>
      </c>
      <c r="B15" s="73">
        <v>28</v>
      </c>
      <c r="C15" s="73"/>
      <c r="D15" s="73"/>
      <c r="E15" s="73">
        <v>28</v>
      </c>
    </row>
    <row r="16" spans="1:11" x14ac:dyDescent="0.3">
      <c r="A16" s="36" t="s">
        <v>309</v>
      </c>
      <c r="B16" s="73"/>
      <c r="C16" s="73"/>
      <c r="D16" s="73">
        <v>10</v>
      </c>
      <c r="E16" s="73">
        <v>10</v>
      </c>
    </row>
    <row r="17" spans="1:5" x14ac:dyDescent="0.3">
      <c r="A17" s="36" t="s">
        <v>310</v>
      </c>
      <c r="B17" s="73">
        <v>21</v>
      </c>
      <c r="C17" s="73"/>
      <c r="D17" s="73"/>
      <c r="E17" s="73">
        <v>21</v>
      </c>
    </row>
    <row r="18" spans="1:5" x14ac:dyDescent="0.3">
      <c r="A18" s="36" t="s">
        <v>311</v>
      </c>
      <c r="B18" s="73">
        <v>13</v>
      </c>
      <c r="C18" s="73"/>
      <c r="D18" s="73"/>
      <c r="E18" s="73">
        <v>13</v>
      </c>
    </row>
    <row r="19" spans="1:5" x14ac:dyDescent="0.3">
      <c r="A19" s="36" t="s">
        <v>312</v>
      </c>
      <c r="B19" s="73"/>
      <c r="C19" s="73"/>
      <c r="D19" s="73">
        <v>12</v>
      </c>
      <c r="E19" s="73">
        <v>12</v>
      </c>
    </row>
    <row r="20" spans="1:5" x14ac:dyDescent="0.3">
      <c r="A20" s="36" t="s">
        <v>313</v>
      </c>
      <c r="B20" s="73"/>
      <c r="C20" s="73">
        <v>28</v>
      </c>
      <c r="D20" s="73"/>
      <c r="E20" s="73">
        <v>28</v>
      </c>
    </row>
    <row r="21" spans="1:5" x14ac:dyDescent="0.3">
      <c r="A21" s="36" t="s">
        <v>314</v>
      </c>
      <c r="B21" s="73"/>
      <c r="C21" s="73"/>
      <c r="D21" s="73">
        <v>12</v>
      </c>
      <c r="E21" s="73">
        <v>12</v>
      </c>
    </row>
    <row r="22" spans="1:5" x14ac:dyDescent="0.3">
      <c r="A22" s="36" t="s">
        <v>315</v>
      </c>
      <c r="B22" s="73">
        <v>11</v>
      </c>
      <c r="C22" s="73"/>
      <c r="D22" s="73"/>
      <c r="E22" s="73">
        <v>11</v>
      </c>
    </row>
    <row r="23" spans="1:5" x14ac:dyDescent="0.3">
      <c r="A23" s="36" t="s">
        <v>316</v>
      </c>
      <c r="B23" s="73">
        <v>3</v>
      </c>
      <c r="C23" s="73"/>
      <c r="D23" s="73"/>
      <c r="E23" s="73">
        <v>3</v>
      </c>
    </row>
    <row r="24" spans="1:5" x14ac:dyDescent="0.3">
      <c r="A24" s="36" t="s">
        <v>317</v>
      </c>
      <c r="B24" s="73"/>
      <c r="C24" s="73">
        <v>22</v>
      </c>
      <c r="D24" s="73"/>
      <c r="E24" s="73">
        <v>22</v>
      </c>
    </row>
    <row r="25" spans="1:5" x14ac:dyDescent="0.3">
      <c r="A25" s="36" t="s">
        <v>318</v>
      </c>
      <c r="B25" s="73"/>
      <c r="C25" s="73">
        <v>25</v>
      </c>
      <c r="D25" s="73"/>
      <c r="E25" s="73">
        <v>25</v>
      </c>
    </row>
    <row r="26" spans="1:5" x14ac:dyDescent="0.3">
      <c r="A26" s="36" t="s">
        <v>319</v>
      </c>
      <c r="B26" s="73">
        <v>30</v>
      </c>
      <c r="C26" s="73"/>
      <c r="D26" s="73"/>
      <c r="E26" s="73">
        <v>30</v>
      </c>
    </row>
    <row r="27" spans="1:5" x14ac:dyDescent="0.3">
      <c r="A27" s="36" t="s">
        <v>320</v>
      </c>
      <c r="B27" s="73">
        <v>11</v>
      </c>
      <c r="C27" s="73"/>
      <c r="D27" s="73"/>
      <c r="E27" s="73">
        <v>11</v>
      </c>
    </row>
    <row r="28" spans="1:5" x14ac:dyDescent="0.3">
      <c r="A28" s="36" t="s">
        <v>321</v>
      </c>
      <c r="B28" s="73"/>
      <c r="C28" s="73">
        <v>10</v>
      </c>
      <c r="D28" s="73"/>
      <c r="E28" s="73">
        <v>10</v>
      </c>
    </row>
    <row r="29" spans="1:5" x14ac:dyDescent="0.3">
      <c r="A29" s="36" t="s">
        <v>322</v>
      </c>
      <c r="B29" s="73">
        <v>21</v>
      </c>
      <c r="C29" s="73"/>
      <c r="D29" s="73"/>
      <c r="E29" s="73">
        <v>21</v>
      </c>
    </row>
    <row r="30" spans="1:5" x14ac:dyDescent="0.3">
      <c r="A30" s="36" t="s">
        <v>323</v>
      </c>
      <c r="B30" s="73"/>
      <c r="C30" s="73">
        <v>15</v>
      </c>
      <c r="D30" s="73"/>
      <c r="E30" s="73">
        <v>15</v>
      </c>
    </row>
    <row r="31" spans="1:5" x14ac:dyDescent="0.3">
      <c r="A31" s="36" t="s">
        <v>324</v>
      </c>
      <c r="B31" s="73"/>
      <c r="C31" s="73"/>
      <c r="D31" s="73">
        <v>24</v>
      </c>
      <c r="E31" s="73">
        <v>24</v>
      </c>
    </row>
    <row r="32" spans="1:5" x14ac:dyDescent="0.3">
      <c r="A32" s="36" t="s">
        <v>325</v>
      </c>
      <c r="B32" s="73"/>
      <c r="C32" s="73"/>
      <c r="D32" s="73">
        <v>6</v>
      </c>
      <c r="E32" s="73">
        <v>6</v>
      </c>
    </row>
    <row r="33" spans="1:5" x14ac:dyDescent="0.3">
      <c r="A33" s="36" t="s">
        <v>326</v>
      </c>
      <c r="B33" s="73"/>
      <c r="C33" s="73"/>
      <c r="D33" s="73">
        <v>15</v>
      </c>
      <c r="E33" s="73">
        <v>15</v>
      </c>
    </row>
    <row r="34" spans="1:5" x14ac:dyDescent="0.3">
      <c r="A34" s="36" t="s">
        <v>327</v>
      </c>
      <c r="B34" s="73"/>
      <c r="C34" s="73"/>
      <c r="D34" s="73">
        <v>19</v>
      </c>
      <c r="E34" s="73">
        <v>19</v>
      </c>
    </row>
    <row r="35" spans="1:5" x14ac:dyDescent="0.3">
      <c r="A35" s="36" t="s">
        <v>328</v>
      </c>
      <c r="B35" s="73">
        <v>21</v>
      </c>
      <c r="C35" s="73"/>
      <c r="D35" s="73"/>
      <c r="E35" s="73">
        <v>21</v>
      </c>
    </row>
    <row r="36" spans="1:5" x14ac:dyDescent="0.3">
      <c r="A36" s="36" t="s">
        <v>329</v>
      </c>
      <c r="B36" s="73"/>
      <c r="C36" s="73">
        <v>28</v>
      </c>
      <c r="D36" s="73"/>
      <c r="E36" s="73">
        <v>28</v>
      </c>
    </row>
    <row r="37" spans="1:5" x14ac:dyDescent="0.3">
      <c r="A37" s="36" t="s">
        <v>330</v>
      </c>
      <c r="B37" s="73">
        <v>21</v>
      </c>
      <c r="C37" s="73"/>
      <c r="D37" s="73"/>
      <c r="E37" s="73">
        <v>21</v>
      </c>
    </row>
    <row r="38" spans="1:5" x14ac:dyDescent="0.3">
      <c r="A38" s="36" t="s">
        <v>331</v>
      </c>
      <c r="B38" s="73"/>
      <c r="C38" s="73"/>
      <c r="D38" s="73">
        <v>19</v>
      </c>
      <c r="E38" s="73">
        <v>19</v>
      </c>
    </row>
    <row r="39" spans="1:5" x14ac:dyDescent="0.3">
      <c r="A39" s="36" t="s">
        <v>332</v>
      </c>
      <c r="B39" s="73"/>
      <c r="C39" s="73">
        <v>12</v>
      </c>
      <c r="D39" s="73"/>
      <c r="E39" s="73">
        <v>12</v>
      </c>
    </row>
    <row r="40" spans="1:5" x14ac:dyDescent="0.3">
      <c r="A40" s="36" t="s">
        <v>333</v>
      </c>
      <c r="B40" s="73">
        <v>8</v>
      </c>
      <c r="C40" s="73"/>
      <c r="D40" s="73"/>
      <c r="E40" s="73">
        <v>8</v>
      </c>
    </row>
    <row r="41" spans="1:5" x14ac:dyDescent="0.3">
      <c r="A41" s="36" t="s">
        <v>334</v>
      </c>
      <c r="B41" s="73"/>
      <c r="C41" s="73">
        <v>5</v>
      </c>
      <c r="D41" s="73"/>
      <c r="E41" s="73">
        <v>5</v>
      </c>
    </row>
    <row r="42" spans="1:5" x14ac:dyDescent="0.3">
      <c r="A42" s="36" t="s">
        <v>335</v>
      </c>
      <c r="B42" s="73"/>
      <c r="C42" s="73">
        <v>5</v>
      </c>
      <c r="D42" s="73"/>
      <c r="E42" s="73">
        <v>5</v>
      </c>
    </row>
    <row r="43" spans="1:5" x14ac:dyDescent="0.3">
      <c r="A43" s="36" t="s">
        <v>336</v>
      </c>
      <c r="B43" s="73"/>
      <c r="C43" s="73">
        <v>10</v>
      </c>
      <c r="D43" s="73"/>
      <c r="E43" s="73">
        <v>10</v>
      </c>
    </row>
    <row r="44" spans="1:5" x14ac:dyDescent="0.3">
      <c r="A44" s="66" t="s">
        <v>287</v>
      </c>
      <c r="B44" s="67">
        <v>17.742857142857144</v>
      </c>
      <c r="C44" s="67">
        <v>15.733333333333333</v>
      </c>
      <c r="D44" s="67">
        <v>12.927272727272728</v>
      </c>
      <c r="E44" s="67">
        <v>15.664999999999999</v>
      </c>
    </row>
  </sheetData>
  <mergeCells count="4">
    <mergeCell ref="G9:G10"/>
    <mergeCell ref="H9:H10"/>
    <mergeCell ref="I9:I10"/>
    <mergeCell ref="J9:J10"/>
  </mergeCells>
  <conditionalFormatting pivot="1" sqref="B5:B43">
    <cfRule type="cellIs" dxfId="38" priority="10" operator="between">
      <formula>1</formula>
      <formula>5</formula>
    </cfRule>
  </conditionalFormatting>
  <conditionalFormatting pivot="1" sqref="B5:B43">
    <cfRule type="cellIs" dxfId="37" priority="9" operator="between">
      <formula>1</formula>
      <formula>10</formula>
    </cfRule>
  </conditionalFormatting>
  <conditionalFormatting pivot="1" sqref="B5:B43">
    <cfRule type="cellIs" dxfId="36" priority="8" operator="between">
      <formula>11</formula>
      <formula>20</formula>
    </cfRule>
  </conditionalFormatting>
  <conditionalFormatting pivot="1" sqref="B5:B43">
    <cfRule type="cellIs" dxfId="35" priority="7" operator="between">
      <formula>21</formula>
      <formula>30</formula>
    </cfRule>
  </conditionalFormatting>
  <conditionalFormatting pivot="1" sqref="C5:C43">
    <cfRule type="cellIs" dxfId="34" priority="6" operator="between">
      <formula>1</formula>
      <formula>10</formula>
    </cfRule>
  </conditionalFormatting>
  <conditionalFormatting pivot="1" sqref="C5:C43">
    <cfRule type="cellIs" dxfId="33" priority="5" operator="between">
      <formula>11</formula>
      <formula>20</formula>
    </cfRule>
  </conditionalFormatting>
  <conditionalFormatting pivot="1" sqref="C5:C43">
    <cfRule type="cellIs" dxfId="32" priority="4" operator="between">
      <formula>21</formula>
      <formula>30</formula>
    </cfRule>
  </conditionalFormatting>
  <conditionalFormatting pivot="1" sqref="D5:D43">
    <cfRule type="cellIs" dxfId="31" priority="3" operator="between">
      <formula>1</formula>
      <formula>10</formula>
    </cfRule>
  </conditionalFormatting>
  <conditionalFormatting pivot="1" sqref="D5:D43">
    <cfRule type="cellIs" dxfId="30" priority="2" operator="between">
      <formula>11</formula>
      <formula>20</formula>
    </cfRule>
  </conditionalFormatting>
  <conditionalFormatting pivot="1" sqref="D5:D43">
    <cfRule type="cellIs" dxfId="29" priority="1" operator="between">
      <formula>21</formula>
      <formula>30</formula>
    </cfRule>
  </conditionalFormatting>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309"/>
  <sheetViews>
    <sheetView topLeftCell="I1" zoomScale="60" zoomScaleNormal="60" workbookViewId="0">
      <pane ySplit="1" topLeftCell="A108" activePane="bottomLeft" state="frozen"/>
      <selection pane="bottomLeft" activeCell="AF142" sqref="AF142"/>
    </sheetView>
  </sheetViews>
  <sheetFormatPr defaultRowHeight="14.4" x14ac:dyDescent="0.3"/>
  <cols>
    <col min="1" max="1" width="14.88671875" customWidth="1"/>
    <col min="2" max="2" width="17" customWidth="1"/>
    <col min="3" max="3" width="11.6640625" customWidth="1"/>
    <col min="4" max="4" width="12.44140625" customWidth="1"/>
    <col min="5" max="5" width="14.6640625" customWidth="1"/>
    <col min="6" max="6" width="13.88671875" customWidth="1"/>
    <col min="7" max="7" width="11.6640625" customWidth="1"/>
    <col min="8" max="9" width="14.33203125" customWidth="1"/>
    <col min="10" max="10" width="17.21875" customWidth="1"/>
    <col min="11" max="11" width="17.33203125" customWidth="1"/>
    <col min="12" max="12" width="13.6640625" customWidth="1"/>
    <col min="13" max="13" width="10.77734375" customWidth="1"/>
    <col min="14" max="14" width="13.109375" customWidth="1"/>
    <col min="15" max="15" width="11" customWidth="1"/>
    <col min="16" max="16" width="11.33203125" customWidth="1"/>
    <col min="17" max="17" width="11.88671875" customWidth="1"/>
    <col min="19" max="19" width="10.33203125" customWidth="1"/>
    <col min="27" max="27" width="10.77734375" customWidth="1"/>
    <col min="30" max="30" width="17.88671875" customWidth="1"/>
    <col min="31" max="31" width="16.21875" customWidth="1"/>
    <col min="32" max="32" width="18.5546875" customWidth="1"/>
    <col min="33" max="33" width="16.44140625" customWidth="1"/>
  </cols>
  <sheetData>
    <row r="1" spans="1:29" ht="45" customHeight="1" x14ac:dyDescent="0.3">
      <c r="A1" s="15" t="s">
        <v>0</v>
      </c>
      <c r="B1" s="16" t="s">
        <v>1</v>
      </c>
      <c r="C1" s="16" t="s">
        <v>2</v>
      </c>
      <c r="D1" s="16" t="s">
        <v>3</v>
      </c>
      <c r="E1" s="16" t="s">
        <v>4</v>
      </c>
      <c r="F1" s="16" t="s">
        <v>5</v>
      </c>
      <c r="G1" s="16" t="s">
        <v>6</v>
      </c>
      <c r="H1" s="16" t="s">
        <v>7</v>
      </c>
      <c r="I1" s="16" t="s">
        <v>8</v>
      </c>
      <c r="J1" s="17" t="s">
        <v>9</v>
      </c>
      <c r="K1" s="16" t="s">
        <v>276</v>
      </c>
      <c r="L1" s="16" t="s">
        <v>277</v>
      </c>
      <c r="M1" s="16" t="s">
        <v>284</v>
      </c>
      <c r="N1" s="16" t="s">
        <v>278</v>
      </c>
      <c r="O1" s="16" t="s">
        <v>279</v>
      </c>
      <c r="P1" s="16" t="s">
        <v>280</v>
      </c>
      <c r="Q1" s="16" t="s">
        <v>285</v>
      </c>
      <c r="S1" s="129" t="s">
        <v>281</v>
      </c>
      <c r="T1" s="129"/>
      <c r="U1" s="129"/>
      <c r="V1" s="129"/>
      <c r="W1" s="129"/>
      <c r="X1" s="129"/>
      <c r="Y1" s="129"/>
      <c r="Z1" s="129"/>
      <c r="AA1" s="129"/>
      <c r="AB1" s="129"/>
      <c r="AC1" s="129"/>
    </row>
    <row r="2" spans="1:29" x14ac:dyDescent="0.3">
      <c r="A2" s="13" t="s">
        <v>10</v>
      </c>
      <c r="B2" s="2">
        <v>46213</v>
      </c>
      <c r="C2" s="1" t="s">
        <v>11</v>
      </c>
      <c r="D2" s="1" t="s">
        <v>12</v>
      </c>
      <c r="E2" s="1" t="s">
        <v>13</v>
      </c>
      <c r="F2" s="1">
        <v>84</v>
      </c>
      <c r="G2" s="1">
        <v>12</v>
      </c>
      <c r="H2" s="1">
        <v>135</v>
      </c>
      <c r="I2" s="1">
        <v>53</v>
      </c>
      <c r="J2" s="14" t="s">
        <v>14</v>
      </c>
      <c r="K2" s="24" t="str">
        <f>_xlfn.XLOOKUP(C2,[1]Sheet!$A:$A,[1]Sheet!$B:$B,"Not Found")</f>
        <v>Component 21</v>
      </c>
      <c r="L2" s="24" t="str">
        <f>_xlfn.XLOOKUP(C2,[1]Sheet!$A:$A,[1]Sheet!$C:$C,"Not Found")</f>
        <v>Packaging</v>
      </c>
      <c r="M2" s="28">
        <f>_xlfn.XLOOKUP(C2,[1]Sheet!$A:$A,[1]Sheet!$D:$D,"Not Found")</f>
        <v>313</v>
      </c>
      <c r="N2" s="24" t="str">
        <f>_xlfn.XLOOKUP(C2,[1]Sheet!$A:$A,[1]Sheet!$E:$E,"Not Found")</f>
        <v>Delta</v>
      </c>
      <c r="O2" s="24">
        <f>_xlfn.XLOOKUP(C2,[1]Sheet!$A:$A,[1]Sheet!$F:$F,"Not Found")</f>
        <v>13</v>
      </c>
      <c r="P2" s="24" t="str">
        <f>_xlfn.XLOOKUP(C2,[1]Sheet!$A:$A,[1]Sheet!$G:$G,"Not Found")</f>
        <v>High</v>
      </c>
      <c r="Q2" s="31">
        <f>Table1[[#This Row],[Current Stock]]*Table1[[#This Row],[Unit Cost (Currency)]]</f>
        <v>42255</v>
      </c>
    </row>
    <row r="3" spans="1:29" ht="18" x14ac:dyDescent="0.35">
      <c r="A3" s="13" t="s">
        <v>15</v>
      </c>
      <c r="B3" s="2">
        <v>46186</v>
      </c>
      <c r="C3" s="1" t="s">
        <v>16</v>
      </c>
      <c r="D3" s="1" t="s">
        <v>17</v>
      </c>
      <c r="E3" s="1" t="s">
        <v>18</v>
      </c>
      <c r="F3" s="1">
        <v>35</v>
      </c>
      <c r="G3" s="1">
        <v>40</v>
      </c>
      <c r="H3" s="1">
        <v>111</v>
      </c>
      <c r="I3" s="1">
        <v>63</v>
      </c>
      <c r="J3" s="14" t="s">
        <v>19</v>
      </c>
      <c r="K3" s="1" t="str">
        <f>_xlfn.XLOOKUP(C3,[1]Sheet!$A:$A,[1]Sheet!$B:$B,"Not Found")</f>
        <v>Component 39</v>
      </c>
      <c r="L3" s="1" t="str">
        <f>_xlfn.XLOOKUP(C3,[1]Sheet!$A:$A,[1]Sheet!$C:$C,"Not Found")</f>
        <v>Electrical</v>
      </c>
      <c r="M3" s="29">
        <f>_xlfn.XLOOKUP(C3,[1]Sheet!$A:$A,[1]Sheet!$D:$D,"Not Found")</f>
        <v>409</v>
      </c>
      <c r="N3" s="1" t="str">
        <f>_xlfn.XLOOKUP(C3,[1]Sheet!$A:$A,[1]Sheet!$E:$E,"Not Found")</f>
        <v>Central</v>
      </c>
      <c r="O3" s="1">
        <f>_xlfn.XLOOKUP(C3,[1]Sheet!$A:$A,[1]Sheet!$F:$F,"Not Found")</f>
        <v>28</v>
      </c>
      <c r="P3" s="1" t="str">
        <f>_xlfn.XLOOKUP(C3,[1]Sheet!$A:$A,[1]Sheet!$G:$G,"Not Found")</f>
        <v>Low</v>
      </c>
      <c r="Q3" s="32">
        <f>Table1[[#This Row],[Current Stock]]*Table1[[#This Row],[Unit Cost (Currency)]]</f>
        <v>45399</v>
      </c>
      <c r="S3" s="7" t="s">
        <v>282</v>
      </c>
    </row>
    <row r="4" spans="1:29" x14ac:dyDescent="0.3">
      <c r="A4" s="13" t="s">
        <v>20</v>
      </c>
      <c r="B4" s="2">
        <v>46208</v>
      </c>
      <c r="C4" s="1" t="s">
        <v>21</v>
      </c>
      <c r="D4" s="1" t="s">
        <v>12</v>
      </c>
      <c r="E4" s="1" t="s">
        <v>13</v>
      </c>
      <c r="F4" s="1">
        <v>80</v>
      </c>
      <c r="G4" s="1">
        <v>15</v>
      </c>
      <c r="H4" s="1">
        <v>161</v>
      </c>
      <c r="I4" s="1">
        <v>52</v>
      </c>
      <c r="J4" s="14" t="s">
        <v>19</v>
      </c>
      <c r="K4" s="1" t="str">
        <f>_xlfn.XLOOKUP(C4,[1]Sheet!$A:$A,[1]Sheet!$B:$B,"Not Found")</f>
        <v>Component 3</v>
      </c>
      <c r="L4" s="1" t="str">
        <f>_xlfn.XLOOKUP(C4,[1]Sheet!$A:$A,[1]Sheet!$C:$C,"Not Found")</f>
        <v>Electrical</v>
      </c>
      <c r="M4" s="29">
        <f>_xlfn.XLOOKUP(C4,[1]Sheet!$A:$A,[1]Sheet!$D:$D,"Not Found")</f>
        <v>246</v>
      </c>
      <c r="N4" s="1" t="str">
        <f>_xlfn.XLOOKUP(C4,[1]Sheet!$A:$A,[1]Sheet!$E:$E,"Not Found")</f>
        <v>Delta</v>
      </c>
      <c r="O4" s="1">
        <f>_xlfn.XLOOKUP(C4,[1]Sheet!$A:$A,[1]Sheet!$F:$F,"Not Found")</f>
        <v>30</v>
      </c>
      <c r="P4" s="1" t="str">
        <f>_xlfn.XLOOKUP(C4,[1]Sheet!$A:$A,[1]Sheet!$G:$G,"Not Found")</f>
        <v>High</v>
      </c>
      <c r="Q4" s="32">
        <f>Table1[[#This Row],[Current Stock]]*Table1[[#This Row],[Unit Cost (Currency)]]</f>
        <v>39606</v>
      </c>
    </row>
    <row r="5" spans="1:29" ht="18" x14ac:dyDescent="0.3">
      <c r="A5" s="13" t="s">
        <v>22</v>
      </c>
      <c r="B5" s="2">
        <v>46192</v>
      </c>
      <c r="C5" s="1" t="s">
        <v>23</v>
      </c>
      <c r="D5" s="1" t="s">
        <v>17</v>
      </c>
      <c r="E5" s="1" t="s">
        <v>13</v>
      </c>
      <c r="F5" s="1">
        <v>24</v>
      </c>
      <c r="G5" s="1">
        <v>80</v>
      </c>
      <c r="H5" s="1">
        <v>245</v>
      </c>
      <c r="I5" s="1">
        <v>78</v>
      </c>
      <c r="J5" s="14" t="s">
        <v>14</v>
      </c>
      <c r="K5" s="1" t="str">
        <f>_xlfn.XLOOKUP(C5,[1]Sheet!$A:$A,[1]Sheet!$B:$B,"Not Found")</f>
        <v>Component 26</v>
      </c>
      <c r="L5" s="1" t="str">
        <f>_xlfn.XLOOKUP(C5,[1]Sheet!$A:$A,[1]Sheet!$C:$C,"Not Found")</f>
        <v>Safety</v>
      </c>
      <c r="M5" s="29">
        <f>_xlfn.XLOOKUP(C5,[1]Sheet!$A:$A,[1]Sheet!$D:$D,"Not Found")</f>
        <v>326</v>
      </c>
      <c r="N5" s="1" t="str">
        <f>_xlfn.XLOOKUP(C5,[1]Sheet!$A:$A,[1]Sheet!$E:$E,"Not Found")</f>
        <v>Central</v>
      </c>
      <c r="O5" s="1">
        <f>_xlfn.XLOOKUP(C5,[1]Sheet!$A:$A,[1]Sheet!$F:$F,"Not Found")</f>
        <v>11</v>
      </c>
      <c r="P5" s="1" t="str">
        <f>_xlfn.XLOOKUP(C5,[1]Sheet!$A:$A,[1]Sheet!$G:$G,"Not Found")</f>
        <v>High</v>
      </c>
      <c r="Q5" s="32">
        <f>Table1[[#This Row],[Current Stock]]*Table1[[#This Row],[Unit Cost (Currency)]]</f>
        <v>79870</v>
      </c>
      <c r="S5" s="130" t="s">
        <v>283</v>
      </c>
      <c r="T5" s="130"/>
      <c r="U5" s="130"/>
    </row>
    <row r="6" spans="1:29" x14ac:dyDescent="0.3">
      <c r="A6" s="13" t="s">
        <v>24</v>
      </c>
      <c r="B6" s="2">
        <v>46183</v>
      </c>
      <c r="C6" s="1" t="s">
        <v>25</v>
      </c>
      <c r="D6" s="1" t="s">
        <v>26</v>
      </c>
      <c r="E6" s="1" t="s">
        <v>13</v>
      </c>
      <c r="F6" s="1">
        <v>102</v>
      </c>
      <c r="G6" s="1">
        <v>42</v>
      </c>
      <c r="H6" s="1">
        <v>92</v>
      </c>
      <c r="I6" s="1">
        <v>40</v>
      </c>
      <c r="J6" s="14" t="s">
        <v>14</v>
      </c>
      <c r="K6" s="1" t="str">
        <f>_xlfn.XLOOKUP(C6,[1]Sheet!$A:$A,[1]Sheet!$B:$B,"Not Found")</f>
        <v>Component 40</v>
      </c>
      <c r="L6" s="1" t="str">
        <f>_xlfn.XLOOKUP(C6,[1]Sheet!$A:$A,[1]Sheet!$C:$C,"Not Found")</f>
        <v>Mechanical</v>
      </c>
      <c r="M6" s="29">
        <f>_xlfn.XLOOKUP(C6,[1]Sheet!$A:$A,[1]Sheet!$D:$D,"Not Found")</f>
        <v>180</v>
      </c>
      <c r="N6" s="1" t="str">
        <f>_xlfn.XLOOKUP(C6,[1]Sheet!$A:$A,[1]Sheet!$E:$E,"Not Found")</f>
        <v>Central</v>
      </c>
      <c r="O6" s="1">
        <f>_xlfn.XLOOKUP(C6,[1]Sheet!$A:$A,[1]Sheet!$F:$F,"Not Found")</f>
        <v>19</v>
      </c>
      <c r="P6" s="1" t="str">
        <f>_xlfn.XLOOKUP(C6,[1]Sheet!$A:$A,[1]Sheet!$G:$G,"Not Found")</f>
        <v>Medium</v>
      </c>
      <c r="Q6" s="32">
        <f>Table1[[#This Row],[Current Stock]]*Table1[[#This Row],[Unit Cost (Currency)]]</f>
        <v>16560</v>
      </c>
    </row>
    <row r="7" spans="1:29" x14ac:dyDescent="0.3">
      <c r="A7" s="13" t="s">
        <v>27</v>
      </c>
      <c r="B7" s="2">
        <v>46202</v>
      </c>
      <c r="C7" s="1" t="s">
        <v>28</v>
      </c>
      <c r="D7" s="1" t="s">
        <v>26</v>
      </c>
      <c r="E7" s="1" t="s">
        <v>18</v>
      </c>
      <c r="F7" s="1">
        <v>114</v>
      </c>
      <c r="G7" s="1">
        <v>2</v>
      </c>
      <c r="H7" s="1">
        <v>93</v>
      </c>
      <c r="I7" s="1">
        <v>49</v>
      </c>
      <c r="J7" s="14" t="s">
        <v>14</v>
      </c>
      <c r="K7" s="1" t="str">
        <f>_xlfn.XLOOKUP(C7,[1]Sheet!$A:$A,[1]Sheet!$B:$B,"Not Found")</f>
        <v>Component 15</v>
      </c>
      <c r="L7" s="1" t="str">
        <f>_xlfn.XLOOKUP(C7,[1]Sheet!$A:$A,[1]Sheet!$C:$C,"Not Found")</f>
        <v>Electrical</v>
      </c>
      <c r="M7" s="29">
        <f>_xlfn.XLOOKUP(C7,[1]Sheet!$A:$A,[1]Sheet!$D:$D,"Not Found")</f>
        <v>406</v>
      </c>
      <c r="N7" s="1" t="str">
        <f>_xlfn.XLOOKUP(C7,[1]Sheet!$A:$A,[1]Sheet!$E:$E,"Not Found")</f>
        <v>Central</v>
      </c>
      <c r="O7" s="1">
        <f>_xlfn.XLOOKUP(C7,[1]Sheet!$A:$A,[1]Sheet!$F:$F,"Not Found")</f>
        <v>6</v>
      </c>
      <c r="P7" s="1" t="str">
        <f>_xlfn.XLOOKUP(C7,[1]Sheet!$A:$A,[1]Sheet!$G:$G,"Not Found")</f>
        <v>Low</v>
      </c>
      <c r="Q7" s="32">
        <f>Table1[[#This Row],[Current Stock]]*Table1[[#This Row],[Unit Cost (Currency)]]</f>
        <v>37758</v>
      </c>
    </row>
    <row r="8" spans="1:29" x14ac:dyDescent="0.3">
      <c r="A8" s="13" t="s">
        <v>29</v>
      </c>
      <c r="B8" s="2">
        <v>46217</v>
      </c>
      <c r="C8" s="1" t="s">
        <v>23</v>
      </c>
      <c r="D8" s="1" t="s">
        <v>26</v>
      </c>
      <c r="E8" s="1" t="s">
        <v>18</v>
      </c>
      <c r="F8" s="1">
        <v>18</v>
      </c>
      <c r="G8" s="1">
        <v>97</v>
      </c>
      <c r="H8" s="1">
        <v>186</v>
      </c>
      <c r="I8" s="1">
        <v>60</v>
      </c>
      <c r="J8" s="14" t="s">
        <v>19</v>
      </c>
      <c r="K8" s="1" t="str">
        <f>_xlfn.XLOOKUP(C8,[1]Sheet!$A:$A,[1]Sheet!$B:$B,"Not Found")</f>
        <v>Component 26</v>
      </c>
      <c r="L8" s="1" t="str">
        <f>_xlfn.XLOOKUP(C8,[1]Sheet!$A:$A,[1]Sheet!$C:$C,"Not Found")</f>
        <v>Safety</v>
      </c>
      <c r="M8" s="29">
        <f>_xlfn.XLOOKUP(C8,[1]Sheet!$A:$A,[1]Sheet!$D:$D,"Not Found")</f>
        <v>326</v>
      </c>
      <c r="N8" s="1" t="str">
        <f>_xlfn.XLOOKUP(C8,[1]Sheet!$A:$A,[1]Sheet!$E:$E,"Not Found")</f>
        <v>Central</v>
      </c>
      <c r="O8" s="1">
        <f>_xlfn.XLOOKUP(C8,[1]Sheet!$A:$A,[1]Sheet!$F:$F,"Not Found")</f>
        <v>11</v>
      </c>
      <c r="P8" s="1" t="str">
        <f>_xlfn.XLOOKUP(C8,[1]Sheet!$A:$A,[1]Sheet!$G:$G,"Not Found")</f>
        <v>High</v>
      </c>
      <c r="Q8" s="32">
        <f>Table1[[#This Row],[Current Stock]]*Table1[[#This Row],[Unit Cost (Currency)]]</f>
        <v>60636</v>
      </c>
    </row>
    <row r="9" spans="1:29" x14ac:dyDescent="0.3">
      <c r="A9" s="13" t="s">
        <v>30</v>
      </c>
      <c r="B9" s="2">
        <v>46206</v>
      </c>
      <c r="C9" s="1" t="s">
        <v>31</v>
      </c>
      <c r="D9" s="1" t="s">
        <v>12</v>
      </c>
      <c r="E9" s="1" t="s">
        <v>18</v>
      </c>
      <c r="F9" s="1">
        <v>114</v>
      </c>
      <c r="G9" s="1">
        <v>22</v>
      </c>
      <c r="H9" s="1">
        <v>63</v>
      </c>
      <c r="I9" s="1">
        <v>44</v>
      </c>
      <c r="J9" s="14" t="s">
        <v>19</v>
      </c>
      <c r="K9" s="1" t="str">
        <f>_xlfn.XLOOKUP(C9,[1]Sheet!$A:$A,[1]Sheet!$B:$B,"Not Found")</f>
        <v>Component 24</v>
      </c>
      <c r="L9" s="1" t="str">
        <f>_xlfn.XLOOKUP(C9,[1]Sheet!$A:$A,[1]Sheet!$C:$C,"Not Found")</f>
        <v>Packaging</v>
      </c>
      <c r="M9" s="29">
        <f>_xlfn.XLOOKUP(C9,[1]Sheet!$A:$A,[1]Sheet!$D:$D,"Not Found")</f>
        <v>224</v>
      </c>
      <c r="N9" s="1" t="str">
        <f>_xlfn.XLOOKUP(C9,[1]Sheet!$A:$A,[1]Sheet!$E:$E,"Not Found")</f>
        <v>Bravo</v>
      </c>
      <c r="O9" s="1">
        <f>_xlfn.XLOOKUP(C9,[1]Sheet!$A:$A,[1]Sheet!$F:$F,"Not Found")</f>
        <v>12</v>
      </c>
      <c r="P9" s="1" t="str">
        <f>_xlfn.XLOOKUP(C9,[1]Sheet!$A:$A,[1]Sheet!$G:$G,"Not Found")</f>
        <v>Medium</v>
      </c>
      <c r="Q9" s="32">
        <f>Table1[[#This Row],[Current Stock]]*Table1[[#This Row],[Unit Cost (Currency)]]</f>
        <v>14112</v>
      </c>
    </row>
    <row r="10" spans="1:29" x14ac:dyDescent="0.3">
      <c r="A10" s="13" t="s">
        <v>32</v>
      </c>
      <c r="B10" s="2">
        <v>46200</v>
      </c>
      <c r="C10" s="1" t="s">
        <v>33</v>
      </c>
      <c r="D10" s="1" t="s">
        <v>17</v>
      </c>
      <c r="E10" s="1" t="s">
        <v>13</v>
      </c>
      <c r="F10" s="1">
        <v>94</v>
      </c>
      <c r="G10" s="1">
        <v>21</v>
      </c>
      <c r="H10" s="1">
        <v>150</v>
      </c>
      <c r="I10" s="1">
        <v>47</v>
      </c>
      <c r="J10" s="14" t="s">
        <v>14</v>
      </c>
      <c r="K10" s="1" t="str">
        <f>_xlfn.XLOOKUP(C10,[1]Sheet!$A:$A,[1]Sheet!$B:$B,"Not Found")</f>
        <v>Component 10</v>
      </c>
      <c r="L10" s="1" t="str">
        <f>_xlfn.XLOOKUP(C10,[1]Sheet!$A:$A,[1]Sheet!$C:$C,"Not Found")</f>
        <v>Packaging</v>
      </c>
      <c r="M10" s="29">
        <f>_xlfn.XLOOKUP(C10,[1]Sheet!$A:$A,[1]Sheet!$D:$D,"Not Found")</f>
        <v>90</v>
      </c>
      <c r="N10" s="1" t="str">
        <f>_xlfn.XLOOKUP(C10,[1]Sheet!$A:$A,[1]Sheet!$E:$E,"Not Found")</f>
        <v>Central</v>
      </c>
      <c r="O10" s="1">
        <f>_xlfn.XLOOKUP(C10,[1]Sheet!$A:$A,[1]Sheet!$F:$F,"Not Found")</f>
        <v>7</v>
      </c>
      <c r="P10" s="1" t="str">
        <f>_xlfn.XLOOKUP(C10,[1]Sheet!$A:$A,[1]Sheet!$G:$G,"Not Found")</f>
        <v>Medium</v>
      </c>
      <c r="Q10" s="32">
        <f>Table1[[#This Row],[Current Stock]]*Table1[[#This Row],[Unit Cost (Currency)]]</f>
        <v>13500</v>
      </c>
    </row>
    <row r="11" spans="1:29" x14ac:dyDescent="0.3">
      <c r="A11" s="13" t="s">
        <v>34</v>
      </c>
      <c r="B11" s="2">
        <v>46194</v>
      </c>
      <c r="C11" s="1" t="s">
        <v>35</v>
      </c>
      <c r="D11" s="1" t="s">
        <v>12</v>
      </c>
      <c r="E11" s="1" t="s">
        <v>13</v>
      </c>
      <c r="F11" s="1">
        <v>11</v>
      </c>
      <c r="G11" s="1">
        <v>61</v>
      </c>
      <c r="H11" s="1">
        <v>221</v>
      </c>
      <c r="I11" s="1">
        <v>61</v>
      </c>
      <c r="J11" s="14" t="s">
        <v>14</v>
      </c>
      <c r="K11" s="1" t="str">
        <f>_xlfn.XLOOKUP(C11,[1]Sheet!$A:$A,[1]Sheet!$B:$B,"Not Found")</f>
        <v>Component 12</v>
      </c>
      <c r="L11" s="1" t="str">
        <f>_xlfn.XLOOKUP(C11,[1]Sheet!$A:$A,[1]Sheet!$C:$C,"Not Found")</f>
        <v>Packaging</v>
      </c>
      <c r="M11" s="29">
        <f>_xlfn.XLOOKUP(C11,[1]Sheet!$A:$A,[1]Sheet!$D:$D,"Not Found")</f>
        <v>365</v>
      </c>
      <c r="N11" s="1" t="str">
        <f>_xlfn.XLOOKUP(C11,[1]Sheet!$A:$A,[1]Sheet!$E:$E,"Not Found")</f>
        <v>Delta</v>
      </c>
      <c r="O11" s="1">
        <f>_xlfn.XLOOKUP(C11,[1]Sheet!$A:$A,[1]Sheet!$F:$F,"Not Found")</f>
        <v>6</v>
      </c>
      <c r="P11" s="1" t="str">
        <f>_xlfn.XLOOKUP(C11,[1]Sheet!$A:$A,[1]Sheet!$G:$G,"Not Found")</f>
        <v>Low</v>
      </c>
      <c r="Q11" s="32">
        <f>Table1[[#This Row],[Current Stock]]*Table1[[#This Row],[Unit Cost (Currency)]]</f>
        <v>80665</v>
      </c>
    </row>
    <row r="12" spans="1:29" x14ac:dyDescent="0.3">
      <c r="A12" s="13" t="s">
        <v>36</v>
      </c>
      <c r="B12" s="2">
        <v>46174</v>
      </c>
      <c r="C12" s="1" t="s">
        <v>25</v>
      </c>
      <c r="D12" s="1" t="s">
        <v>12</v>
      </c>
      <c r="E12" s="1" t="s">
        <v>37</v>
      </c>
      <c r="F12" s="1">
        <v>18</v>
      </c>
      <c r="G12" s="1">
        <v>36</v>
      </c>
      <c r="H12" s="1">
        <v>129</v>
      </c>
      <c r="I12" s="1">
        <v>42</v>
      </c>
      <c r="J12" s="14" t="s">
        <v>19</v>
      </c>
      <c r="K12" s="1" t="str">
        <f>_xlfn.XLOOKUP(C12,[1]Sheet!$A:$A,[1]Sheet!$B:$B,"Not Found")</f>
        <v>Component 40</v>
      </c>
      <c r="L12" s="1" t="str">
        <f>_xlfn.XLOOKUP(C12,[1]Sheet!$A:$A,[1]Sheet!$C:$C,"Not Found")</f>
        <v>Mechanical</v>
      </c>
      <c r="M12" s="29">
        <f>_xlfn.XLOOKUP(C12,[1]Sheet!$A:$A,[1]Sheet!$D:$D,"Not Found")</f>
        <v>180</v>
      </c>
      <c r="N12" s="1" t="str">
        <f>_xlfn.XLOOKUP(C12,[1]Sheet!$A:$A,[1]Sheet!$E:$E,"Not Found")</f>
        <v>Central</v>
      </c>
      <c r="O12" s="1">
        <f>_xlfn.XLOOKUP(C12,[1]Sheet!$A:$A,[1]Sheet!$F:$F,"Not Found")</f>
        <v>19</v>
      </c>
      <c r="P12" s="1" t="str">
        <f>_xlfn.XLOOKUP(C12,[1]Sheet!$A:$A,[1]Sheet!$G:$G,"Not Found")</f>
        <v>Medium</v>
      </c>
      <c r="Q12" s="32">
        <f>Table1[[#This Row],[Current Stock]]*Table1[[#This Row],[Unit Cost (Currency)]]</f>
        <v>23220</v>
      </c>
    </row>
    <row r="13" spans="1:29" x14ac:dyDescent="0.3">
      <c r="A13" s="13" t="s">
        <v>38</v>
      </c>
      <c r="B13" s="2">
        <v>46209</v>
      </c>
      <c r="C13" s="1" t="s">
        <v>21</v>
      </c>
      <c r="D13" s="1" t="s">
        <v>26</v>
      </c>
      <c r="E13" s="1" t="s">
        <v>18</v>
      </c>
      <c r="F13" s="1">
        <v>78</v>
      </c>
      <c r="G13" s="1">
        <v>56</v>
      </c>
      <c r="H13" s="1">
        <v>196</v>
      </c>
      <c r="I13" s="1">
        <v>36</v>
      </c>
      <c r="J13" s="14" t="s">
        <v>19</v>
      </c>
      <c r="K13" s="1" t="str">
        <f>_xlfn.XLOOKUP(C13,[1]Sheet!$A:$A,[1]Sheet!$B:$B,"Not Found")</f>
        <v>Component 3</v>
      </c>
      <c r="L13" s="1" t="str">
        <f>_xlfn.XLOOKUP(C13,[1]Sheet!$A:$A,[1]Sheet!$C:$C,"Not Found")</f>
        <v>Electrical</v>
      </c>
      <c r="M13" s="29">
        <f>_xlfn.XLOOKUP(C13,[1]Sheet!$A:$A,[1]Sheet!$D:$D,"Not Found")</f>
        <v>246</v>
      </c>
      <c r="N13" s="1" t="str">
        <f>_xlfn.XLOOKUP(C13,[1]Sheet!$A:$A,[1]Sheet!$E:$E,"Not Found")</f>
        <v>Delta</v>
      </c>
      <c r="O13" s="1">
        <f>_xlfn.XLOOKUP(C13,[1]Sheet!$A:$A,[1]Sheet!$F:$F,"Not Found")</f>
        <v>30</v>
      </c>
      <c r="P13" s="1" t="str">
        <f>_xlfn.XLOOKUP(C13,[1]Sheet!$A:$A,[1]Sheet!$G:$G,"Not Found")</f>
        <v>High</v>
      </c>
      <c r="Q13" s="32">
        <f>Table1[[#This Row],[Current Stock]]*Table1[[#This Row],[Unit Cost (Currency)]]</f>
        <v>48216</v>
      </c>
    </row>
    <row r="14" spans="1:29" x14ac:dyDescent="0.3">
      <c r="A14" s="13" t="s">
        <v>39</v>
      </c>
      <c r="B14" s="2">
        <v>46219</v>
      </c>
      <c r="C14" s="1" t="s">
        <v>40</v>
      </c>
      <c r="D14" s="1" t="s">
        <v>26</v>
      </c>
      <c r="E14" s="1" t="s">
        <v>13</v>
      </c>
      <c r="F14" s="1">
        <v>63</v>
      </c>
      <c r="G14" s="1">
        <v>16</v>
      </c>
      <c r="H14" s="1">
        <v>130</v>
      </c>
      <c r="I14" s="1">
        <v>73</v>
      </c>
      <c r="J14" s="14" t="s">
        <v>14</v>
      </c>
      <c r="K14" s="1" t="str">
        <f>_xlfn.XLOOKUP(C14,[1]Sheet!$A:$A,[1]Sheet!$B:$B,"Not Found")</f>
        <v>Component 18</v>
      </c>
      <c r="L14" s="1" t="str">
        <f>_xlfn.XLOOKUP(C14,[1]Sheet!$A:$A,[1]Sheet!$C:$C,"Not Found")</f>
        <v>Safety</v>
      </c>
      <c r="M14" s="29">
        <f>_xlfn.XLOOKUP(C14,[1]Sheet!$A:$A,[1]Sheet!$D:$D,"Not Found")</f>
        <v>8</v>
      </c>
      <c r="N14" s="1" t="str">
        <f>_xlfn.XLOOKUP(C14,[1]Sheet!$A:$A,[1]Sheet!$E:$E,"Not Found")</f>
        <v>Central</v>
      </c>
      <c r="O14" s="1">
        <f>_xlfn.XLOOKUP(C14,[1]Sheet!$A:$A,[1]Sheet!$F:$F,"Not Found")</f>
        <v>19</v>
      </c>
      <c r="P14" s="1" t="str">
        <f>_xlfn.XLOOKUP(C14,[1]Sheet!$A:$A,[1]Sheet!$G:$G,"Not Found")</f>
        <v>High</v>
      </c>
      <c r="Q14" s="32">
        <f>Table1[[#This Row],[Current Stock]]*Table1[[#This Row],[Unit Cost (Currency)]]</f>
        <v>1040</v>
      </c>
    </row>
    <row r="15" spans="1:29" x14ac:dyDescent="0.3">
      <c r="A15" s="13" t="s">
        <v>41</v>
      </c>
      <c r="B15" s="2">
        <v>46205</v>
      </c>
      <c r="C15" s="1" t="s">
        <v>42</v>
      </c>
      <c r="D15" s="1" t="s">
        <v>17</v>
      </c>
      <c r="E15" s="1" t="s">
        <v>13</v>
      </c>
      <c r="F15" s="1">
        <v>52</v>
      </c>
      <c r="G15" s="1">
        <v>91</v>
      </c>
      <c r="H15" s="1">
        <v>187</v>
      </c>
      <c r="I15" s="1">
        <v>54</v>
      </c>
      <c r="J15" s="14" t="s">
        <v>14</v>
      </c>
      <c r="K15" s="1" t="str">
        <f>_xlfn.XLOOKUP(C15,[1]Sheet!$A:$A,[1]Sheet!$B:$B,"Not Found")</f>
        <v>Component 19</v>
      </c>
      <c r="L15" s="1" t="str">
        <f>_xlfn.XLOOKUP(C15,[1]Sheet!$A:$A,[1]Sheet!$C:$C,"Not Found")</f>
        <v>Mechanical</v>
      </c>
      <c r="M15" s="29">
        <f>_xlfn.XLOOKUP(C15,[1]Sheet!$A:$A,[1]Sheet!$D:$D,"Not Found")</f>
        <v>239</v>
      </c>
      <c r="N15" s="1" t="str">
        <f>_xlfn.XLOOKUP(C15,[1]Sheet!$A:$A,[1]Sheet!$E:$E,"Not Found")</f>
        <v>Central</v>
      </c>
      <c r="O15" s="1">
        <f>_xlfn.XLOOKUP(C15,[1]Sheet!$A:$A,[1]Sheet!$F:$F,"Not Found")</f>
        <v>28</v>
      </c>
      <c r="P15" s="1" t="str">
        <f>_xlfn.XLOOKUP(C15,[1]Sheet!$A:$A,[1]Sheet!$G:$G,"Not Found")</f>
        <v>High</v>
      </c>
      <c r="Q15" s="32">
        <f>Table1[[#This Row],[Current Stock]]*Table1[[#This Row],[Unit Cost (Currency)]]</f>
        <v>44693</v>
      </c>
    </row>
    <row r="16" spans="1:29" x14ac:dyDescent="0.3">
      <c r="A16" s="13" t="s">
        <v>43</v>
      </c>
      <c r="B16" s="2">
        <v>46186</v>
      </c>
      <c r="C16" s="1" t="s">
        <v>44</v>
      </c>
      <c r="D16" s="1" t="s">
        <v>17</v>
      </c>
      <c r="E16" s="1" t="s">
        <v>13</v>
      </c>
      <c r="F16" s="1">
        <v>45</v>
      </c>
      <c r="G16" s="1">
        <v>13</v>
      </c>
      <c r="H16" s="1">
        <v>147</v>
      </c>
      <c r="I16" s="1">
        <v>52</v>
      </c>
      <c r="J16" s="14" t="s">
        <v>14</v>
      </c>
      <c r="K16" s="1" t="str">
        <f>_xlfn.XLOOKUP(C16,[1]Sheet!$A:$A,[1]Sheet!$B:$B,"Not Found")</f>
        <v>Component 9</v>
      </c>
      <c r="L16" s="1" t="str">
        <f>_xlfn.XLOOKUP(C16,[1]Sheet!$A:$A,[1]Sheet!$C:$C,"Not Found")</f>
        <v>Mechanical</v>
      </c>
      <c r="M16" s="29">
        <f>_xlfn.XLOOKUP(C16,[1]Sheet!$A:$A,[1]Sheet!$D:$D,"Not Found")</f>
        <v>209</v>
      </c>
      <c r="N16" s="1" t="str">
        <f>_xlfn.XLOOKUP(C16,[1]Sheet!$A:$A,[1]Sheet!$E:$E,"Not Found")</f>
        <v>Bravo</v>
      </c>
      <c r="O16" s="1">
        <f>_xlfn.XLOOKUP(C16,[1]Sheet!$A:$A,[1]Sheet!$F:$F,"Not Found")</f>
        <v>10</v>
      </c>
      <c r="P16" s="1" t="str">
        <f>_xlfn.XLOOKUP(C16,[1]Sheet!$A:$A,[1]Sheet!$G:$G,"Not Found")</f>
        <v>Low</v>
      </c>
      <c r="Q16" s="32">
        <f>Table1[[#This Row],[Current Stock]]*Table1[[#This Row],[Unit Cost (Currency)]]</f>
        <v>30723</v>
      </c>
    </row>
    <row r="17" spans="1:17" x14ac:dyDescent="0.3">
      <c r="A17" s="13" t="s">
        <v>45</v>
      </c>
      <c r="B17" s="2">
        <v>46195</v>
      </c>
      <c r="C17" s="1" t="s">
        <v>35</v>
      </c>
      <c r="D17" s="1" t="s">
        <v>26</v>
      </c>
      <c r="E17" s="1" t="s">
        <v>37</v>
      </c>
      <c r="F17" s="1">
        <v>108</v>
      </c>
      <c r="G17" s="1">
        <v>93</v>
      </c>
      <c r="H17" s="1">
        <v>46</v>
      </c>
      <c r="I17" s="1">
        <v>28</v>
      </c>
      <c r="J17" s="14" t="s">
        <v>19</v>
      </c>
      <c r="K17" s="1" t="str">
        <f>_xlfn.XLOOKUP(C17,[1]Sheet!$A:$A,[1]Sheet!$B:$B,"Not Found")</f>
        <v>Component 12</v>
      </c>
      <c r="L17" s="1" t="str">
        <f>_xlfn.XLOOKUP(C17,[1]Sheet!$A:$A,[1]Sheet!$C:$C,"Not Found")</f>
        <v>Packaging</v>
      </c>
      <c r="M17" s="29">
        <f>_xlfn.XLOOKUP(C17,[1]Sheet!$A:$A,[1]Sheet!$D:$D,"Not Found")</f>
        <v>365</v>
      </c>
      <c r="N17" s="1" t="str">
        <f>_xlfn.XLOOKUP(C17,[1]Sheet!$A:$A,[1]Sheet!$E:$E,"Not Found")</f>
        <v>Delta</v>
      </c>
      <c r="O17" s="1">
        <f>_xlfn.XLOOKUP(C17,[1]Sheet!$A:$A,[1]Sheet!$F:$F,"Not Found")</f>
        <v>6</v>
      </c>
      <c r="P17" s="1" t="str">
        <f>_xlfn.XLOOKUP(C17,[1]Sheet!$A:$A,[1]Sheet!$G:$G,"Not Found")</f>
        <v>Low</v>
      </c>
      <c r="Q17" s="32">
        <f>Table1[[#This Row],[Current Stock]]*Table1[[#This Row],[Unit Cost (Currency)]]</f>
        <v>16790</v>
      </c>
    </row>
    <row r="18" spans="1:17" x14ac:dyDescent="0.3">
      <c r="A18" s="13" t="s">
        <v>46</v>
      </c>
      <c r="B18" s="2">
        <v>46198</v>
      </c>
      <c r="C18" s="1" t="s">
        <v>47</v>
      </c>
      <c r="D18" s="1" t="s">
        <v>12</v>
      </c>
      <c r="E18" s="1" t="s">
        <v>18</v>
      </c>
      <c r="F18" s="1">
        <v>64</v>
      </c>
      <c r="G18" s="1">
        <v>99</v>
      </c>
      <c r="H18" s="1">
        <v>115</v>
      </c>
      <c r="I18" s="1">
        <v>31</v>
      </c>
      <c r="J18" s="14" t="s">
        <v>14</v>
      </c>
      <c r="K18" s="1" t="str">
        <f>_xlfn.XLOOKUP(C18,[1]Sheet!$A:$A,[1]Sheet!$B:$B,"Not Found")</f>
        <v>Component 6</v>
      </c>
      <c r="L18" s="1" t="str">
        <f>_xlfn.XLOOKUP(C18,[1]Sheet!$A:$A,[1]Sheet!$C:$C,"Not Found")</f>
        <v>Electrical</v>
      </c>
      <c r="M18" s="29">
        <f>_xlfn.XLOOKUP(C18,[1]Sheet!$A:$A,[1]Sheet!$D:$D,"Not Found")</f>
        <v>156</v>
      </c>
      <c r="N18" s="1" t="str">
        <f>_xlfn.XLOOKUP(C18,[1]Sheet!$A:$A,[1]Sheet!$E:$E,"Not Found")</f>
        <v>Central</v>
      </c>
      <c r="O18" s="1">
        <f>_xlfn.XLOOKUP(C18,[1]Sheet!$A:$A,[1]Sheet!$F:$F,"Not Found")</f>
        <v>8</v>
      </c>
      <c r="P18" s="1" t="str">
        <f>_xlfn.XLOOKUP(C18,[1]Sheet!$A:$A,[1]Sheet!$G:$G,"Not Found")</f>
        <v>High</v>
      </c>
      <c r="Q18" s="32">
        <f>Table1[[#This Row],[Current Stock]]*Table1[[#This Row],[Unit Cost (Currency)]]</f>
        <v>17940</v>
      </c>
    </row>
    <row r="19" spans="1:17" x14ac:dyDescent="0.3">
      <c r="A19" s="13" t="s">
        <v>48</v>
      </c>
      <c r="B19" s="2">
        <v>46210</v>
      </c>
      <c r="C19" s="1" t="s">
        <v>49</v>
      </c>
      <c r="D19" s="1" t="s">
        <v>26</v>
      </c>
      <c r="E19" s="1" t="s">
        <v>18</v>
      </c>
      <c r="F19" s="1">
        <v>23</v>
      </c>
      <c r="G19" s="1">
        <v>92</v>
      </c>
      <c r="H19" s="1">
        <v>152</v>
      </c>
      <c r="I19" s="1">
        <v>30</v>
      </c>
      <c r="J19" s="14" t="s">
        <v>19</v>
      </c>
      <c r="K19" s="1" t="str">
        <f>_xlfn.XLOOKUP(C19,[1]Sheet!$A:$A,[1]Sheet!$B:$B,"Not Found")</f>
        <v>Component 31</v>
      </c>
      <c r="L19" s="1" t="str">
        <f>_xlfn.XLOOKUP(C19,[1]Sheet!$A:$A,[1]Sheet!$C:$C,"Not Found")</f>
        <v>Mechanical</v>
      </c>
      <c r="M19" s="29">
        <f>_xlfn.XLOOKUP(C19,[1]Sheet!$A:$A,[1]Sheet!$D:$D,"Not Found")</f>
        <v>462</v>
      </c>
      <c r="N19" s="1" t="str">
        <f>_xlfn.XLOOKUP(C19,[1]Sheet!$A:$A,[1]Sheet!$E:$E,"Not Found")</f>
        <v>Central</v>
      </c>
      <c r="O19" s="1">
        <f>_xlfn.XLOOKUP(C19,[1]Sheet!$A:$A,[1]Sheet!$F:$F,"Not Found")</f>
        <v>10</v>
      </c>
      <c r="P19" s="1" t="str">
        <f>_xlfn.XLOOKUP(C19,[1]Sheet!$A:$A,[1]Sheet!$G:$G,"Not Found")</f>
        <v>Low</v>
      </c>
      <c r="Q19" s="32">
        <f>Table1[[#This Row],[Current Stock]]*Table1[[#This Row],[Unit Cost (Currency)]]</f>
        <v>70224</v>
      </c>
    </row>
    <row r="20" spans="1:17" x14ac:dyDescent="0.3">
      <c r="A20" s="13" t="s">
        <v>50</v>
      </c>
      <c r="B20" s="2">
        <v>46193</v>
      </c>
      <c r="C20" s="1" t="s">
        <v>11</v>
      </c>
      <c r="D20" s="1" t="s">
        <v>26</v>
      </c>
      <c r="E20" s="1" t="s">
        <v>18</v>
      </c>
      <c r="F20" s="1">
        <v>101</v>
      </c>
      <c r="G20" s="1">
        <v>41</v>
      </c>
      <c r="H20" s="1">
        <v>74</v>
      </c>
      <c r="I20" s="1">
        <v>40</v>
      </c>
      <c r="J20" s="14" t="s">
        <v>14</v>
      </c>
      <c r="K20" s="1" t="str">
        <f>_xlfn.XLOOKUP(C20,[1]Sheet!$A:$A,[1]Sheet!$B:$B,"Not Found")</f>
        <v>Component 21</v>
      </c>
      <c r="L20" s="1" t="str">
        <f>_xlfn.XLOOKUP(C20,[1]Sheet!$A:$A,[1]Sheet!$C:$C,"Not Found")</f>
        <v>Packaging</v>
      </c>
      <c r="M20" s="29">
        <f>_xlfn.XLOOKUP(C20,[1]Sheet!$A:$A,[1]Sheet!$D:$D,"Not Found")</f>
        <v>313</v>
      </c>
      <c r="N20" s="1" t="str">
        <f>_xlfn.XLOOKUP(C20,[1]Sheet!$A:$A,[1]Sheet!$E:$E,"Not Found")</f>
        <v>Delta</v>
      </c>
      <c r="O20" s="1">
        <f>_xlfn.XLOOKUP(C20,[1]Sheet!$A:$A,[1]Sheet!$F:$F,"Not Found")</f>
        <v>13</v>
      </c>
      <c r="P20" s="1" t="str">
        <f>_xlfn.XLOOKUP(C20,[1]Sheet!$A:$A,[1]Sheet!$G:$G,"Not Found")</f>
        <v>High</v>
      </c>
      <c r="Q20" s="32">
        <f>Table1[[#This Row],[Current Stock]]*Table1[[#This Row],[Unit Cost (Currency)]]</f>
        <v>23162</v>
      </c>
    </row>
    <row r="21" spans="1:17" x14ac:dyDescent="0.3">
      <c r="A21" s="13" t="s">
        <v>51</v>
      </c>
      <c r="B21" s="2">
        <v>46205</v>
      </c>
      <c r="C21" s="1" t="s">
        <v>52</v>
      </c>
      <c r="D21" s="1" t="s">
        <v>26</v>
      </c>
      <c r="E21" s="1" t="s">
        <v>18</v>
      </c>
      <c r="F21" s="1">
        <v>108</v>
      </c>
      <c r="G21" s="1">
        <v>3</v>
      </c>
      <c r="H21" s="1">
        <v>12</v>
      </c>
      <c r="I21" s="1">
        <v>41</v>
      </c>
      <c r="J21" s="14" t="s">
        <v>14</v>
      </c>
      <c r="K21" s="1" t="str">
        <f>_xlfn.XLOOKUP(C21,[1]Sheet!$A:$A,[1]Sheet!$B:$B,"Not Found")</f>
        <v>Component 4</v>
      </c>
      <c r="L21" s="1" t="str">
        <f>_xlfn.XLOOKUP(C21,[1]Sheet!$A:$A,[1]Sheet!$C:$C,"Not Found")</f>
        <v>Mechanical</v>
      </c>
      <c r="M21" s="29">
        <f>_xlfn.XLOOKUP(C21,[1]Sheet!$A:$A,[1]Sheet!$D:$D,"Not Found")</f>
        <v>165</v>
      </c>
      <c r="N21" s="1" t="str">
        <f>_xlfn.XLOOKUP(C21,[1]Sheet!$A:$A,[1]Sheet!$E:$E,"Not Found")</f>
        <v>Central</v>
      </c>
      <c r="O21" s="1">
        <f>_xlfn.XLOOKUP(C21,[1]Sheet!$A:$A,[1]Sheet!$F:$F,"Not Found")</f>
        <v>21</v>
      </c>
      <c r="P21" s="1" t="str">
        <f>_xlfn.XLOOKUP(C21,[1]Sheet!$A:$A,[1]Sheet!$G:$G,"Not Found")</f>
        <v>High</v>
      </c>
      <c r="Q21" s="32">
        <f>Table1[[#This Row],[Current Stock]]*Table1[[#This Row],[Unit Cost (Currency)]]</f>
        <v>1980</v>
      </c>
    </row>
    <row r="22" spans="1:17" x14ac:dyDescent="0.3">
      <c r="A22" s="13" t="s">
        <v>53</v>
      </c>
      <c r="B22" s="2">
        <v>46178</v>
      </c>
      <c r="C22" s="1" t="s">
        <v>49</v>
      </c>
      <c r="D22" s="1" t="s">
        <v>12</v>
      </c>
      <c r="E22" s="1" t="s">
        <v>37</v>
      </c>
      <c r="F22" s="1">
        <v>84</v>
      </c>
      <c r="G22" s="1">
        <v>50</v>
      </c>
      <c r="H22" s="1">
        <v>213</v>
      </c>
      <c r="I22" s="1">
        <v>26</v>
      </c>
      <c r="J22" s="14" t="s">
        <v>19</v>
      </c>
      <c r="K22" s="1" t="str">
        <f>_xlfn.XLOOKUP(C22,[1]Sheet!$A:$A,[1]Sheet!$B:$B,"Not Found")</f>
        <v>Component 31</v>
      </c>
      <c r="L22" s="1" t="str">
        <f>_xlfn.XLOOKUP(C22,[1]Sheet!$A:$A,[1]Sheet!$C:$C,"Not Found")</f>
        <v>Mechanical</v>
      </c>
      <c r="M22" s="29">
        <f>_xlfn.XLOOKUP(C22,[1]Sheet!$A:$A,[1]Sheet!$D:$D,"Not Found")</f>
        <v>462</v>
      </c>
      <c r="N22" s="1" t="str">
        <f>_xlfn.XLOOKUP(C22,[1]Sheet!$A:$A,[1]Sheet!$E:$E,"Not Found")</f>
        <v>Central</v>
      </c>
      <c r="O22" s="1">
        <f>_xlfn.XLOOKUP(C22,[1]Sheet!$A:$A,[1]Sheet!$F:$F,"Not Found")</f>
        <v>10</v>
      </c>
      <c r="P22" s="1" t="str">
        <f>_xlfn.XLOOKUP(C22,[1]Sheet!$A:$A,[1]Sheet!$G:$G,"Not Found")</f>
        <v>Low</v>
      </c>
      <c r="Q22" s="32">
        <f>Table1[[#This Row],[Current Stock]]*Table1[[#This Row],[Unit Cost (Currency)]]</f>
        <v>98406</v>
      </c>
    </row>
    <row r="23" spans="1:17" x14ac:dyDescent="0.3">
      <c r="A23" s="13" t="s">
        <v>54</v>
      </c>
      <c r="B23" s="2">
        <v>46195</v>
      </c>
      <c r="C23" s="1" t="s">
        <v>55</v>
      </c>
      <c r="D23" s="1" t="s">
        <v>12</v>
      </c>
      <c r="E23" s="1" t="s">
        <v>18</v>
      </c>
      <c r="F23" s="1">
        <v>34</v>
      </c>
      <c r="G23" s="1">
        <v>71</v>
      </c>
      <c r="H23" s="1">
        <v>166</v>
      </c>
      <c r="I23" s="1">
        <v>77</v>
      </c>
      <c r="J23" s="14" t="s">
        <v>19</v>
      </c>
      <c r="K23" s="1" t="str">
        <f>_xlfn.XLOOKUP(C23,[1]Sheet!$A:$A,[1]Sheet!$B:$B,"Not Found")</f>
        <v>Component 14</v>
      </c>
      <c r="L23" s="1" t="str">
        <f>_xlfn.XLOOKUP(C23,[1]Sheet!$A:$A,[1]Sheet!$C:$C,"Not Found")</f>
        <v>Mechanical</v>
      </c>
      <c r="M23" s="29">
        <f>_xlfn.XLOOKUP(C23,[1]Sheet!$A:$A,[1]Sheet!$D:$D,"Not Found")</f>
        <v>270</v>
      </c>
      <c r="N23" s="1" t="str">
        <f>_xlfn.XLOOKUP(C23,[1]Sheet!$A:$A,[1]Sheet!$E:$E,"Not Found")</f>
        <v>Central</v>
      </c>
      <c r="O23" s="1">
        <f>_xlfn.XLOOKUP(C23,[1]Sheet!$A:$A,[1]Sheet!$F:$F,"Not Found")</f>
        <v>4</v>
      </c>
      <c r="P23" s="1" t="str">
        <f>_xlfn.XLOOKUP(C23,[1]Sheet!$A:$A,[1]Sheet!$G:$G,"Not Found")</f>
        <v>Medium</v>
      </c>
      <c r="Q23" s="32">
        <f>Table1[[#This Row],[Current Stock]]*Table1[[#This Row],[Unit Cost (Currency)]]</f>
        <v>44820</v>
      </c>
    </row>
    <row r="24" spans="1:17" x14ac:dyDescent="0.3">
      <c r="A24" s="13" t="s">
        <v>56</v>
      </c>
      <c r="B24" s="2">
        <v>46196</v>
      </c>
      <c r="C24" s="1" t="s">
        <v>57</v>
      </c>
      <c r="D24" s="1" t="s">
        <v>17</v>
      </c>
      <c r="E24" s="1" t="s">
        <v>37</v>
      </c>
      <c r="F24" s="1">
        <v>17</v>
      </c>
      <c r="G24" s="1">
        <v>72</v>
      </c>
      <c r="H24" s="1">
        <v>158</v>
      </c>
      <c r="I24" s="1">
        <v>48</v>
      </c>
      <c r="J24" s="14" t="s">
        <v>19</v>
      </c>
      <c r="K24" s="1" t="str">
        <f>_xlfn.XLOOKUP(C24,[1]Sheet!$A:$A,[1]Sheet!$B:$B,"Not Found")</f>
        <v>Component 11</v>
      </c>
      <c r="L24" s="1" t="str">
        <f>_xlfn.XLOOKUP(C24,[1]Sheet!$A:$A,[1]Sheet!$C:$C,"Not Found")</f>
        <v>Electrical</v>
      </c>
      <c r="M24" s="29">
        <f>_xlfn.XLOOKUP(C24,[1]Sheet!$A:$A,[1]Sheet!$D:$D,"Not Found")</f>
        <v>386</v>
      </c>
      <c r="N24" s="1" t="str">
        <f>_xlfn.XLOOKUP(C24,[1]Sheet!$A:$A,[1]Sheet!$E:$E,"Not Found")</f>
        <v>Central</v>
      </c>
      <c r="O24" s="1">
        <f>_xlfn.XLOOKUP(C24,[1]Sheet!$A:$A,[1]Sheet!$F:$F,"Not Found")</f>
        <v>19</v>
      </c>
      <c r="P24" s="1" t="str">
        <f>_xlfn.XLOOKUP(C24,[1]Sheet!$A:$A,[1]Sheet!$G:$G,"Not Found")</f>
        <v>High</v>
      </c>
      <c r="Q24" s="32">
        <f>Table1[[#This Row],[Current Stock]]*Table1[[#This Row],[Unit Cost (Currency)]]</f>
        <v>60988</v>
      </c>
    </row>
    <row r="25" spans="1:17" x14ac:dyDescent="0.3">
      <c r="A25" s="13" t="s">
        <v>58</v>
      </c>
      <c r="B25" s="2">
        <v>46175</v>
      </c>
      <c r="C25" s="1" t="s">
        <v>55</v>
      </c>
      <c r="D25" s="1" t="s">
        <v>26</v>
      </c>
      <c r="E25" s="1" t="s">
        <v>18</v>
      </c>
      <c r="F25" s="1">
        <v>41</v>
      </c>
      <c r="G25" s="1">
        <v>64</v>
      </c>
      <c r="H25" s="1">
        <v>88</v>
      </c>
      <c r="I25" s="1">
        <v>49</v>
      </c>
      <c r="J25" s="14" t="s">
        <v>19</v>
      </c>
      <c r="K25" s="1" t="str">
        <f>_xlfn.XLOOKUP(C25,[1]Sheet!$A:$A,[1]Sheet!$B:$B,"Not Found")</f>
        <v>Component 14</v>
      </c>
      <c r="L25" s="1" t="str">
        <f>_xlfn.XLOOKUP(C25,[1]Sheet!$A:$A,[1]Sheet!$C:$C,"Not Found")</f>
        <v>Mechanical</v>
      </c>
      <c r="M25" s="29">
        <f>_xlfn.XLOOKUP(C25,[1]Sheet!$A:$A,[1]Sheet!$D:$D,"Not Found")</f>
        <v>270</v>
      </c>
      <c r="N25" s="1" t="str">
        <f>_xlfn.XLOOKUP(C25,[1]Sheet!$A:$A,[1]Sheet!$E:$E,"Not Found")</f>
        <v>Central</v>
      </c>
      <c r="O25" s="1">
        <f>_xlfn.XLOOKUP(C25,[1]Sheet!$A:$A,[1]Sheet!$F:$F,"Not Found")</f>
        <v>4</v>
      </c>
      <c r="P25" s="1" t="str">
        <f>_xlfn.XLOOKUP(C25,[1]Sheet!$A:$A,[1]Sheet!$G:$G,"Not Found")</f>
        <v>Medium</v>
      </c>
      <c r="Q25" s="32">
        <f>Table1[[#This Row],[Current Stock]]*Table1[[#This Row],[Unit Cost (Currency)]]</f>
        <v>23760</v>
      </c>
    </row>
    <row r="26" spans="1:17" x14ac:dyDescent="0.3">
      <c r="A26" s="13" t="s">
        <v>59</v>
      </c>
      <c r="B26" s="2">
        <v>46191</v>
      </c>
      <c r="C26" s="1" t="s">
        <v>57</v>
      </c>
      <c r="D26" s="1" t="s">
        <v>17</v>
      </c>
      <c r="E26" s="1" t="s">
        <v>13</v>
      </c>
      <c r="F26" s="1">
        <v>84</v>
      </c>
      <c r="G26" s="1">
        <v>76</v>
      </c>
      <c r="H26" s="1">
        <v>177</v>
      </c>
      <c r="I26" s="1">
        <v>48</v>
      </c>
      <c r="J26" s="14" t="s">
        <v>19</v>
      </c>
      <c r="K26" s="1" t="str">
        <f>_xlfn.XLOOKUP(C26,[1]Sheet!$A:$A,[1]Sheet!$B:$B,"Not Found")</f>
        <v>Component 11</v>
      </c>
      <c r="L26" s="1" t="str">
        <f>_xlfn.XLOOKUP(C26,[1]Sheet!$A:$A,[1]Sheet!$C:$C,"Not Found")</f>
        <v>Electrical</v>
      </c>
      <c r="M26" s="29">
        <f>_xlfn.XLOOKUP(C26,[1]Sheet!$A:$A,[1]Sheet!$D:$D,"Not Found")</f>
        <v>386</v>
      </c>
      <c r="N26" s="1" t="str">
        <f>_xlfn.XLOOKUP(C26,[1]Sheet!$A:$A,[1]Sheet!$E:$E,"Not Found")</f>
        <v>Central</v>
      </c>
      <c r="O26" s="1">
        <f>_xlfn.XLOOKUP(C26,[1]Sheet!$A:$A,[1]Sheet!$F:$F,"Not Found")</f>
        <v>19</v>
      </c>
      <c r="P26" s="1" t="str">
        <f>_xlfn.XLOOKUP(C26,[1]Sheet!$A:$A,[1]Sheet!$G:$G,"Not Found")</f>
        <v>High</v>
      </c>
      <c r="Q26" s="32">
        <f>Table1[[#This Row],[Current Stock]]*Table1[[#This Row],[Unit Cost (Currency)]]</f>
        <v>68322</v>
      </c>
    </row>
    <row r="27" spans="1:17" x14ac:dyDescent="0.3">
      <c r="A27" s="13" t="s">
        <v>60</v>
      </c>
      <c r="B27" s="2">
        <v>46179</v>
      </c>
      <c r="C27" s="1" t="s">
        <v>61</v>
      </c>
      <c r="D27" s="1" t="s">
        <v>26</v>
      </c>
      <c r="E27" s="1" t="s">
        <v>13</v>
      </c>
      <c r="F27" s="1">
        <v>90</v>
      </c>
      <c r="G27" s="1">
        <v>43</v>
      </c>
      <c r="H27" s="1">
        <v>162</v>
      </c>
      <c r="I27" s="1">
        <v>65</v>
      </c>
      <c r="J27" s="14" t="s">
        <v>14</v>
      </c>
      <c r="K27" s="1" t="str">
        <f>_xlfn.XLOOKUP(C27,[1]Sheet!$A:$A,[1]Sheet!$B:$B,"Not Found")</f>
        <v>Component 2</v>
      </c>
      <c r="L27" s="1" t="str">
        <f>_xlfn.XLOOKUP(C27,[1]Sheet!$A:$A,[1]Sheet!$C:$C,"Not Found")</f>
        <v>Packaging</v>
      </c>
      <c r="M27" s="29">
        <f>_xlfn.XLOOKUP(C27,[1]Sheet!$A:$A,[1]Sheet!$D:$D,"Not Found")</f>
        <v>109</v>
      </c>
      <c r="N27" s="1" t="str">
        <f>_xlfn.XLOOKUP(C27,[1]Sheet!$A:$A,[1]Sheet!$E:$E,"Not Found")</f>
        <v>Alpha</v>
      </c>
      <c r="O27" s="1">
        <f>_xlfn.XLOOKUP(C27,[1]Sheet!$A:$A,[1]Sheet!$F:$F,"Not Found")</f>
        <v>10</v>
      </c>
      <c r="P27" s="1" t="str">
        <f>_xlfn.XLOOKUP(C27,[1]Sheet!$A:$A,[1]Sheet!$G:$G,"Not Found")</f>
        <v>Medium</v>
      </c>
      <c r="Q27" s="32">
        <f>Table1[[#This Row],[Current Stock]]*Table1[[#This Row],[Unit Cost (Currency)]]</f>
        <v>17658</v>
      </c>
    </row>
    <row r="28" spans="1:17" x14ac:dyDescent="0.3">
      <c r="A28" s="13" t="s">
        <v>62</v>
      </c>
      <c r="B28" s="2">
        <v>46216</v>
      </c>
      <c r="C28" s="1" t="s">
        <v>63</v>
      </c>
      <c r="D28" s="1" t="s">
        <v>26</v>
      </c>
      <c r="E28" s="1" t="s">
        <v>18</v>
      </c>
      <c r="F28" s="1">
        <v>60</v>
      </c>
      <c r="G28" s="1">
        <v>38</v>
      </c>
      <c r="H28" s="1">
        <v>244</v>
      </c>
      <c r="I28" s="1">
        <v>47</v>
      </c>
      <c r="J28" s="14" t="s">
        <v>19</v>
      </c>
      <c r="K28" s="1" t="str">
        <f>_xlfn.XLOOKUP(C28,[1]Sheet!$A:$A,[1]Sheet!$B:$B,"Not Found")</f>
        <v>Component 32</v>
      </c>
      <c r="L28" s="1" t="str">
        <f>_xlfn.XLOOKUP(C28,[1]Sheet!$A:$A,[1]Sheet!$C:$C,"Not Found")</f>
        <v>Packaging</v>
      </c>
      <c r="M28" s="29">
        <f>_xlfn.XLOOKUP(C28,[1]Sheet!$A:$A,[1]Sheet!$D:$D,"Not Found")</f>
        <v>282</v>
      </c>
      <c r="N28" s="1" t="str">
        <f>_xlfn.XLOOKUP(C28,[1]Sheet!$A:$A,[1]Sheet!$E:$E,"Not Found")</f>
        <v>Alpha</v>
      </c>
      <c r="O28" s="1">
        <f>_xlfn.XLOOKUP(C28,[1]Sheet!$A:$A,[1]Sheet!$F:$F,"Not Found")</f>
        <v>21</v>
      </c>
      <c r="P28" s="1" t="str">
        <f>_xlfn.XLOOKUP(C28,[1]Sheet!$A:$A,[1]Sheet!$G:$G,"Not Found")</f>
        <v>High</v>
      </c>
      <c r="Q28" s="32">
        <f>Table1[[#This Row],[Current Stock]]*Table1[[#This Row],[Unit Cost (Currency)]]</f>
        <v>68808</v>
      </c>
    </row>
    <row r="29" spans="1:17" x14ac:dyDescent="0.3">
      <c r="A29" s="13" t="s">
        <v>64</v>
      </c>
      <c r="B29" s="2">
        <v>46208</v>
      </c>
      <c r="C29" s="1" t="s">
        <v>65</v>
      </c>
      <c r="D29" s="1" t="s">
        <v>26</v>
      </c>
      <c r="E29" s="1" t="s">
        <v>18</v>
      </c>
      <c r="F29" s="1">
        <v>73</v>
      </c>
      <c r="G29" s="1">
        <v>92</v>
      </c>
      <c r="H29" s="1">
        <v>67</v>
      </c>
      <c r="I29" s="1">
        <v>55</v>
      </c>
      <c r="J29" s="14" t="s">
        <v>19</v>
      </c>
      <c r="K29" s="1" t="str">
        <f>_xlfn.XLOOKUP(C29,[1]Sheet!$A:$A,[1]Sheet!$B:$B,"Not Found")</f>
        <v>Component 37</v>
      </c>
      <c r="L29" s="1" t="str">
        <f>_xlfn.XLOOKUP(C29,[1]Sheet!$A:$A,[1]Sheet!$C:$C,"Not Found")</f>
        <v>Packaging</v>
      </c>
      <c r="M29" s="29">
        <f>_xlfn.XLOOKUP(C29,[1]Sheet!$A:$A,[1]Sheet!$D:$D,"Not Found")</f>
        <v>186</v>
      </c>
      <c r="N29" s="1" t="str">
        <f>_xlfn.XLOOKUP(C29,[1]Sheet!$A:$A,[1]Sheet!$E:$E,"Not Found")</f>
        <v>Central</v>
      </c>
      <c r="O29" s="1">
        <f>_xlfn.XLOOKUP(C29,[1]Sheet!$A:$A,[1]Sheet!$F:$F,"Not Found")</f>
        <v>19</v>
      </c>
      <c r="P29" s="1" t="str">
        <f>_xlfn.XLOOKUP(C29,[1]Sheet!$A:$A,[1]Sheet!$G:$G,"Not Found")</f>
        <v>Medium</v>
      </c>
      <c r="Q29" s="32">
        <f>Table1[[#This Row],[Current Stock]]*Table1[[#This Row],[Unit Cost (Currency)]]</f>
        <v>12462</v>
      </c>
    </row>
    <row r="30" spans="1:17" x14ac:dyDescent="0.3">
      <c r="A30" s="13" t="s">
        <v>66</v>
      </c>
      <c r="B30" s="2">
        <v>46213</v>
      </c>
      <c r="C30" s="1" t="s">
        <v>67</v>
      </c>
      <c r="D30" s="1" t="s">
        <v>26</v>
      </c>
      <c r="E30" s="1" t="s">
        <v>37</v>
      </c>
      <c r="F30" s="1">
        <v>77</v>
      </c>
      <c r="G30" s="1">
        <v>74</v>
      </c>
      <c r="H30" s="1">
        <v>246</v>
      </c>
      <c r="I30" s="1">
        <v>31</v>
      </c>
      <c r="J30" s="14" t="s">
        <v>19</v>
      </c>
      <c r="K30" s="1" t="str">
        <f>_xlfn.XLOOKUP(C30,[1]Sheet!$A:$A,[1]Sheet!$B:$B,"Not Found")</f>
        <v>Component 34</v>
      </c>
      <c r="L30" s="1" t="str">
        <f>_xlfn.XLOOKUP(C30,[1]Sheet!$A:$A,[1]Sheet!$C:$C,"Not Found")</f>
        <v>Electrical</v>
      </c>
      <c r="M30" s="29">
        <f>_xlfn.XLOOKUP(C30,[1]Sheet!$A:$A,[1]Sheet!$D:$D,"Not Found")</f>
        <v>71</v>
      </c>
      <c r="N30" s="1" t="str">
        <f>_xlfn.XLOOKUP(C30,[1]Sheet!$A:$A,[1]Sheet!$E:$E,"Not Found")</f>
        <v>Delta</v>
      </c>
      <c r="O30" s="1">
        <f>_xlfn.XLOOKUP(C30,[1]Sheet!$A:$A,[1]Sheet!$F:$F,"Not Found")</f>
        <v>24</v>
      </c>
      <c r="P30" s="1" t="str">
        <f>_xlfn.XLOOKUP(C30,[1]Sheet!$A:$A,[1]Sheet!$G:$G,"Not Found")</f>
        <v>Medium</v>
      </c>
      <c r="Q30" s="32">
        <f>Table1[[#This Row],[Current Stock]]*Table1[[#This Row],[Unit Cost (Currency)]]</f>
        <v>17466</v>
      </c>
    </row>
    <row r="31" spans="1:17" x14ac:dyDescent="0.3">
      <c r="A31" s="13" t="s">
        <v>68</v>
      </c>
      <c r="B31" s="2">
        <v>46206</v>
      </c>
      <c r="C31" s="1" t="s">
        <v>69</v>
      </c>
      <c r="D31" s="1" t="s">
        <v>26</v>
      </c>
      <c r="E31" s="1" t="s">
        <v>18</v>
      </c>
      <c r="F31" s="1">
        <v>12</v>
      </c>
      <c r="G31" s="1">
        <v>40</v>
      </c>
      <c r="H31" s="1">
        <v>204</v>
      </c>
      <c r="I31" s="1">
        <v>44</v>
      </c>
      <c r="J31" s="14" t="s">
        <v>19</v>
      </c>
      <c r="K31" s="1" t="str">
        <f>_xlfn.XLOOKUP(C31,[1]Sheet!$A:$A,[1]Sheet!$B:$B,"Not Found")</f>
        <v>Component 16</v>
      </c>
      <c r="L31" s="1" t="str">
        <f>_xlfn.XLOOKUP(C31,[1]Sheet!$A:$A,[1]Sheet!$C:$C,"Not Found")</f>
        <v>Safety</v>
      </c>
      <c r="M31" s="29">
        <f>_xlfn.XLOOKUP(C31,[1]Sheet!$A:$A,[1]Sheet!$D:$D,"Not Found")</f>
        <v>245</v>
      </c>
      <c r="N31" s="1" t="str">
        <f>_xlfn.XLOOKUP(C31,[1]Sheet!$A:$A,[1]Sheet!$E:$E,"Not Found")</f>
        <v>Central</v>
      </c>
      <c r="O31" s="1">
        <f>_xlfn.XLOOKUP(C31,[1]Sheet!$A:$A,[1]Sheet!$F:$F,"Not Found")</f>
        <v>19</v>
      </c>
      <c r="P31" s="1" t="str">
        <f>_xlfn.XLOOKUP(C31,[1]Sheet!$A:$A,[1]Sheet!$G:$G,"Not Found")</f>
        <v>High</v>
      </c>
      <c r="Q31" s="32">
        <f>Table1[[#This Row],[Current Stock]]*Table1[[#This Row],[Unit Cost (Currency)]]</f>
        <v>49980</v>
      </c>
    </row>
    <row r="32" spans="1:17" x14ac:dyDescent="0.3">
      <c r="A32" s="13" t="s">
        <v>70</v>
      </c>
      <c r="B32" s="2">
        <v>46176</v>
      </c>
      <c r="C32" s="1" t="s">
        <v>71</v>
      </c>
      <c r="D32" s="1" t="s">
        <v>26</v>
      </c>
      <c r="E32" s="1" t="s">
        <v>18</v>
      </c>
      <c r="F32" s="1">
        <v>48</v>
      </c>
      <c r="G32" s="1">
        <v>73</v>
      </c>
      <c r="H32" s="1">
        <v>22</v>
      </c>
      <c r="I32" s="1">
        <v>28</v>
      </c>
      <c r="J32" s="14" t="s">
        <v>19</v>
      </c>
      <c r="K32" s="1" t="str">
        <f>_xlfn.XLOOKUP(C32,[1]Sheet!$A:$A,[1]Sheet!$B:$B,"Not Found")</f>
        <v>Component 23</v>
      </c>
      <c r="L32" s="1" t="str">
        <f>_xlfn.XLOOKUP(C32,[1]Sheet!$A:$A,[1]Sheet!$C:$C,"Not Found")</f>
        <v>Electrical</v>
      </c>
      <c r="M32" s="29">
        <f>_xlfn.XLOOKUP(C32,[1]Sheet!$A:$A,[1]Sheet!$D:$D,"Not Found")</f>
        <v>348</v>
      </c>
      <c r="N32" s="1" t="str">
        <f>_xlfn.XLOOKUP(C32,[1]Sheet!$A:$A,[1]Sheet!$E:$E,"Not Found")</f>
        <v>Central</v>
      </c>
      <c r="O32" s="1">
        <f>_xlfn.XLOOKUP(C32,[1]Sheet!$A:$A,[1]Sheet!$F:$F,"Not Found")</f>
        <v>28</v>
      </c>
      <c r="P32" s="1" t="str">
        <f>_xlfn.XLOOKUP(C32,[1]Sheet!$A:$A,[1]Sheet!$G:$G,"Not Found")</f>
        <v>Low</v>
      </c>
      <c r="Q32" s="32">
        <f>Table1[[#This Row],[Current Stock]]*Table1[[#This Row],[Unit Cost (Currency)]]</f>
        <v>7656</v>
      </c>
    </row>
    <row r="33" spans="1:33" x14ac:dyDescent="0.3">
      <c r="A33" s="13" t="s">
        <v>72</v>
      </c>
      <c r="B33" s="2">
        <v>46213</v>
      </c>
      <c r="C33" s="1" t="s">
        <v>73</v>
      </c>
      <c r="D33" s="1" t="s">
        <v>26</v>
      </c>
      <c r="E33" s="1" t="s">
        <v>37</v>
      </c>
      <c r="F33" s="1">
        <v>55</v>
      </c>
      <c r="G33" s="1">
        <v>18</v>
      </c>
      <c r="H33" s="1">
        <v>171</v>
      </c>
      <c r="I33" s="1">
        <v>26</v>
      </c>
      <c r="J33" s="14" t="s">
        <v>14</v>
      </c>
      <c r="K33" s="1" t="str">
        <f>_xlfn.XLOOKUP(C33,[1]Sheet!$A:$A,[1]Sheet!$B:$B,"Not Found")</f>
        <v>Component 8</v>
      </c>
      <c r="L33" s="1" t="str">
        <f>_xlfn.XLOOKUP(C33,[1]Sheet!$A:$A,[1]Sheet!$C:$C,"Not Found")</f>
        <v>Electrical</v>
      </c>
      <c r="M33" s="29">
        <f>_xlfn.XLOOKUP(C33,[1]Sheet!$A:$A,[1]Sheet!$D:$D,"Not Found")</f>
        <v>245</v>
      </c>
      <c r="N33" s="1" t="str">
        <f>_xlfn.XLOOKUP(C33,[1]Sheet!$A:$A,[1]Sheet!$E:$E,"Not Found")</f>
        <v>Delta</v>
      </c>
      <c r="O33" s="1">
        <f>_xlfn.XLOOKUP(C33,[1]Sheet!$A:$A,[1]Sheet!$F:$F,"Not Found")</f>
        <v>5</v>
      </c>
      <c r="P33" s="1" t="str">
        <f>_xlfn.XLOOKUP(C33,[1]Sheet!$A:$A,[1]Sheet!$G:$G,"Not Found")</f>
        <v>Low</v>
      </c>
      <c r="Q33" s="32">
        <f>Table1[[#This Row],[Current Stock]]*Table1[[#This Row],[Unit Cost (Currency)]]</f>
        <v>41895</v>
      </c>
    </row>
    <row r="34" spans="1:33" x14ac:dyDescent="0.3">
      <c r="A34" s="13" t="s">
        <v>74</v>
      </c>
      <c r="B34" s="2">
        <v>46219</v>
      </c>
      <c r="C34" s="1" t="s">
        <v>75</v>
      </c>
      <c r="D34" s="1" t="s">
        <v>12</v>
      </c>
      <c r="E34" s="1" t="s">
        <v>37</v>
      </c>
      <c r="F34" s="1">
        <v>116</v>
      </c>
      <c r="G34" s="1">
        <v>63</v>
      </c>
      <c r="H34" s="1">
        <v>193</v>
      </c>
      <c r="I34" s="1">
        <v>48</v>
      </c>
      <c r="J34" s="14" t="s">
        <v>19</v>
      </c>
      <c r="K34" s="1" t="str">
        <f>_xlfn.XLOOKUP(C34,[1]Sheet!$A:$A,[1]Sheet!$B:$B,"Not Found")</f>
        <v>Component 1</v>
      </c>
      <c r="L34" s="1" t="str">
        <f>_xlfn.XLOOKUP(C34,[1]Sheet!$A:$A,[1]Sheet!$C:$C,"Not Found")</f>
        <v>Safety</v>
      </c>
      <c r="M34" s="29">
        <f>_xlfn.XLOOKUP(C34,[1]Sheet!$A:$A,[1]Sheet!$D:$D,"Not Found")</f>
        <v>375</v>
      </c>
      <c r="N34" s="1" t="str">
        <f>_xlfn.XLOOKUP(C34,[1]Sheet!$A:$A,[1]Sheet!$E:$E,"Not Found")</f>
        <v>Alpha</v>
      </c>
      <c r="O34" s="1">
        <f>_xlfn.XLOOKUP(C34,[1]Sheet!$A:$A,[1]Sheet!$F:$F,"Not Found")</f>
        <v>19</v>
      </c>
      <c r="P34" s="1" t="str">
        <f>_xlfn.XLOOKUP(C34,[1]Sheet!$A:$A,[1]Sheet!$G:$G,"Not Found")</f>
        <v>Low</v>
      </c>
      <c r="Q34" s="32">
        <f>Table1[[#This Row],[Current Stock]]*Table1[[#This Row],[Unit Cost (Currency)]]</f>
        <v>72375</v>
      </c>
    </row>
    <row r="35" spans="1:33" x14ac:dyDescent="0.3">
      <c r="A35" s="13" t="s">
        <v>76</v>
      </c>
      <c r="B35" s="2">
        <v>46201</v>
      </c>
      <c r="C35" s="1" t="s">
        <v>47</v>
      </c>
      <c r="D35" s="1" t="s">
        <v>17</v>
      </c>
      <c r="E35" s="1" t="s">
        <v>13</v>
      </c>
      <c r="F35" s="1">
        <v>44</v>
      </c>
      <c r="G35" s="1">
        <v>1</v>
      </c>
      <c r="H35" s="1">
        <v>180</v>
      </c>
      <c r="I35" s="1">
        <v>21</v>
      </c>
      <c r="J35" s="14" t="s">
        <v>19</v>
      </c>
      <c r="K35" s="1" t="str">
        <f>_xlfn.XLOOKUP(C35,[1]Sheet!$A:$A,[1]Sheet!$B:$B,"Not Found")</f>
        <v>Component 6</v>
      </c>
      <c r="L35" s="1" t="str">
        <f>_xlfn.XLOOKUP(C35,[1]Sheet!$A:$A,[1]Sheet!$C:$C,"Not Found")</f>
        <v>Electrical</v>
      </c>
      <c r="M35" s="29">
        <f>_xlfn.XLOOKUP(C35,[1]Sheet!$A:$A,[1]Sheet!$D:$D,"Not Found")</f>
        <v>156</v>
      </c>
      <c r="N35" s="1" t="str">
        <f>_xlfn.XLOOKUP(C35,[1]Sheet!$A:$A,[1]Sheet!$E:$E,"Not Found")</f>
        <v>Central</v>
      </c>
      <c r="O35" s="1">
        <f>_xlfn.XLOOKUP(C35,[1]Sheet!$A:$A,[1]Sheet!$F:$F,"Not Found")</f>
        <v>8</v>
      </c>
      <c r="P35" s="1" t="str">
        <f>_xlfn.XLOOKUP(C35,[1]Sheet!$A:$A,[1]Sheet!$G:$G,"Not Found")</f>
        <v>High</v>
      </c>
      <c r="Q35" s="32">
        <f>Table1[[#This Row],[Current Stock]]*Table1[[#This Row],[Unit Cost (Currency)]]</f>
        <v>28080</v>
      </c>
    </row>
    <row r="36" spans="1:33" x14ac:dyDescent="0.3">
      <c r="A36" s="13" t="s">
        <v>77</v>
      </c>
      <c r="B36" s="2">
        <v>46189</v>
      </c>
      <c r="C36" s="1" t="s">
        <v>69</v>
      </c>
      <c r="D36" s="1" t="s">
        <v>12</v>
      </c>
      <c r="E36" s="1" t="s">
        <v>13</v>
      </c>
      <c r="F36" s="1">
        <v>110</v>
      </c>
      <c r="G36" s="1">
        <v>86</v>
      </c>
      <c r="H36" s="1">
        <v>175</v>
      </c>
      <c r="I36" s="1">
        <v>32</v>
      </c>
      <c r="J36" s="14" t="s">
        <v>19</v>
      </c>
      <c r="K36" s="1" t="str">
        <f>_xlfn.XLOOKUP(C36,[1]Sheet!$A:$A,[1]Sheet!$B:$B,"Not Found")</f>
        <v>Component 16</v>
      </c>
      <c r="L36" s="1" t="str">
        <f>_xlfn.XLOOKUP(C36,[1]Sheet!$A:$A,[1]Sheet!$C:$C,"Not Found")</f>
        <v>Safety</v>
      </c>
      <c r="M36" s="29">
        <f>_xlfn.XLOOKUP(C36,[1]Sheet!$A:$A,[1]Sheet!$D:$D,"Not Found")</f>
        <v>245</v>
      </c>
      <c r="N36" s="1" t="str">
        <f>_xlfn.XLOOKUP(C36,[1]Sheet!$A:$A,[1]Sheet!$E:$E,"Not Found")</f>
        <v>Central</v>
      </c>
      <c r="O36" s="1">
        <f>_xlfn.XLOOKUP(C36,[1]Sheet!$A:$A,[1]Sheet!$F:$F,"Not Found")</f>
        <v>19</v>
      </c>
      <c r="P36" s="1" t="str">
        <f>_xlfn.XLOOKUP(C36,[1]Sheet!$A:$A,[1]Sheet!$G:$G,"Not Found")</f>
        <v>High</v>
      </c>
      <c r="Q36" s="32">
        <f>Table1[[#This Row],[Current Stock]]*Table1[[#This Row],[Unit Cost (Currency)]]</f>
        <v>42875</v>
      </c>
    </row>
    <row r="37" spans="1:33" x14ac:dyDescent="0.3">
      <c r="A37" s="13" t="s">
        <v>78</v>
      </c>
      <c r="B37" s="2">
        <v>46208</v>
      </c>
      <c r="C37" s="1" t="s">
        <v>55</v>
      </c>
      <c r="D37" s="1" t="s">
        <v>17</v>
      </c>
      <c r="E37" s="1" t="s">
        <v>13</v>
      </c>
      <c r="F37" s="1">
        <v>96</v>
      </c>
      <c r="G37" s="1">
        <v>12</v>
      </c>
      <c r="H37" s="1">
        <v>68</v>
      </c>
      <c r="I37" s="1">
        <v>70</v>
      </c>
      <c r="J37" s="14" t="s">
        <v>14</v>
      </c>
      <c r="K37" s="1" t="str">
        <f>_xlfn.XLOOKUP(C37,[1]Sheet!$A:$A,[1]Sheet!$B:$B,"Not Found")</f>
        <v>Component 14</v>
      </c>
      <c r="L37" s="1" t="str">
        <f>_xlfn.XLOOKUP(C37,[1]Sheet!$A:$A,[1]Sheet!$C:$C,"Not Found")</f>
        <v>Mechanical</v>
      </c>
      <c r="M37" s="29">
        <f>_xlfn.XLOOKUP(C37,[1]Sheet!$A:$A,[1]Sheet!$D:$D,"Not Found")</f>
        <v>270</v>
      </c>
      <c r="N37" s="1" t="str">
        <f>_xlfn.XLOOKUP(C37,[1]Sheet!$A:$A,[1]Sheet!$E:$E,"Not Found")</f>
        <v>Central</v>
      </c>
      <c r="O37" s="1">
        <f>_xlfn.XLOOKUP(C37,[1]Sheet!$A:$A,[1]Sheet!$F:$F,"Not Found")</f>
        <v>4</v>
      </c>
      <c r="P37" s="1" t="str">
        <f>_xlfn.XLOOKUP(C37,[1]Sheet!$A:$A,[1]Sheet!$G:$G,"Not Found")</f>
        <v>Medium</v>
      </c>
      <c r="Q37" s="32">
        <f>Table1[[#This Row],[Current Stock]]*Table1[[#This Row],[Unit Cost (Currency)]]</f>
        <v>18360</v>
      </c>
    </row>
    <row r="38" spans="1:33" x14ac:dyDescent="0.3">
      <c r="A38" s="13" t="s">
        <v>79</v>
      </c>
      <c r="B38" s="2">
        <v>46205</v>
      </c>
      <c r="C38" s="1" t="s">
        <v>63</v>
      </c>
      <c r="D38" s="1" t="s">
        <v>17</v>
      </c>
      <c r="E38" s="1" t="s">
        <v>13</v>
      </c>
      <c r="F38" s="1">
        <v>4</v>
      </c>
      <c r="G38" s="1">
        <v>32</v>
      </c>
      <c r="H38" s="1">
        <v>86</v>
      </c>
      <c r="I38" s="1">
        <v>21</v>
      </c>
      <c r="J38" s="14" t="s">
        <v>14</v>
      </c>
      <c r="K38" s="1" t="str">
        <f>_xlfn.XLOOKUP(C38,[1]Sheet!$A:$A,[1]Sheet!$B:$B,"Not Found")</f>
        <v>Component 32</v>
      </c>
      <c r="L38" s="1" t="str">
        <f>_xlfn.XLOOKUP(C38,[1]Sheet!$A:$A,[1]Sheet!$C:$C,"Not Found")</f>
        <v>Packaging</v>
      </c>
      <c r="M38" s="29">
        <f>_xlfn.XLOOKUP(C38,[1]Sheet!$A:$A,[1]Sheet!$D:$D,"Not Found")</f>
        <v>282</v>
      </c>
      <c r="N38" s="1" t="str">
        <f>_xlfn.XLOOKUP(C38,[1]Sheet!$A:$A,[1]Sheet!$E:$E,"Not Found")</f>
        <v>Alpha</v>
      </c>
      <c r="O38" s="1">
        <f>_xlfn.XLOOKUP(C38,[1]Sheet!$A:$A,[1]Sheet!$F:$F,"Not Found")</f>
        <v>21</v>
      </c>
      <c r="P38" s="1" t="str">
        <f>_xlfn.XLOOKUP(C38,[1]Sheet!$A:$A,[1]Sheet!$G:$G,"Not Found")</f>
        <v>High</v>
      </c>
      <c r="Q38" s="32">
        <f>Table1[[#This Row],[Current Stock]]*Table1[[#This Row],[Unit Cost (Currency)]]</f>
        <v>24252</v>
      </c>
    </row>
    <row r="39" spans="1:33" ht="15.6" x14ac:dyDescent="0.3">
      <c r="A39" s="13" t="s">
        <v>80</v>
      </c>
      <c r="B39" s="2">
        <v>46207</v>
      </c>
      <c r="C39" s="1" t="s">
        <v>81</v>
      </c>
      <c r="D39" s="1" t="s">
        <v>17</v>
      </c>
      <c r="E39" s="1" t="s">
        <v>13</v>
      </c>
      <c r="F39" s="1">
        <v>38</v>
      </c>
      <c r="G39" s="1">
        <v>47</v>
      </c>
      <c r="H39" s="1">
        <v>93</v>
      </c>
      <c r="I39" s="1">
        <v>72</v>
      </c>
      <c r="J39" s="14" t="s">
        <v>19</v>
      </c>
      <c r="K39" s="1" t="str">
        <f>_xlfn.XLOOKUP(C39,[1]Sheet!$A:$A,[1]Sheet!$B:$B,"Not Found")</f>
        <v>Component 17</v>
      </c>
      <c r="L39" s="1" t="str">
        <f>_xlfn.XLOOKUP(C39,[1]Sheet!$A:$A,[1]Sheet!$C:$C,"Not Found")</f>
        <v>Safety</v>
      </c>
      <c r="M39" s="29">
        <f>_xlfn.XLOOKUP(C39,[1]Sheet!$A:$A,[1]Sheet!$D:$D,"Not Found")</f>
        <v>285</v>
      </c>
      <c r="N39" s="1" t="str">
        <f>_xlfn.XLOOKUP(C39,[1]Sheet!$A:$A,[1]Sheet!$E:$E,"Not Found")</f>
        <v>Delta</v>
      </c>
      <c r="O39" s="1">
        <f>_xlfn.XLOOKUP(C39,[1]Sheet!$A:$A,[1]Sheet!$F:$F,"Not Found")</f>
        <v>27</v>
      </c>
      <c r="P39" s="1" t="str">
        <f>_xlfn.XLOOKUP(C39,[1]Sheet!$A:$A,[1]Sheet!$G:$G,"Not Found")</f>
        <v>Low</v>
      </c>
      <c r="Q39" s="32">
        <f>Table1[[#This Row],[Current Stock]]*Table1[[#This Row],[Unit Cost (Currency)]]</f>
        <v>26505</v>
      </c>
      <c r="AB39" s="118" t="s">
        <v>349</v>
      </c>
      <c r="AC39" s="119"/>
      <c r="AD39" s="120"/>
      <c r="AE39" s="118" t="s">
        <v>350</v>
      </c>
      <c r="AF39" s="120"/>
      <c r="AG39" s="60" t="s">
        <v>351</v>
      </c>
    </row>
    <row r="40" spans="1:33" ht="15.6" x14ac:dyDescent="0.3">
      <c r="A40" s="13" t="s">
        <v>82</v>
      </c>
      <c r="B40" s="2">
        <v>46206</v>
      </c>
      <c r="C40" s="1" t="s">
        <v>83</v>
      </c>
      <c r="D40" s="1" t="s">
        <v>26</v>
      </c>
      <c r="E40" s="1" t="s">
        <v>37</v>
      </c>
      <c r="F40" s="1">
        <v>11</v>
      </c>
      <c r="G40" s="1">
        <v>56</v>
      </c>
      <c r="H40" s="1">
        <v>28</v>
      </c>
      <c r="I40" s="1">
        <v>54</v>
      </c>
      <c r="J40" s="14" t="s">
        <v>14</v>
      </c>
      <c r="K40" s="1" t="str">
        <f>_xlfn.XLOOKUP(C40,[1]Sheet!$A:$A,[1]Sheet!$B:$B,"Not Found")</f>
        <v>Component 7</v>
      </c>
      <c r="L40" s="1" t="str">
        <f>_xlfn.XLOOKUP(C40,[1]Sheet!$A:$A,[1]Sheet!$C:$C,"Not Found")</f>
        <v>Electrical</v>
      </c>
      <c r="M40" s="29">
        <f>_xlfn.XLOOKUP(C40,[1]Sheet!$A:$A,[1]Sheet!$D:$D,"Not Found")</f>
        <v>374</v>
      </c>
      <c r="N40" s="1" t="str">
        <f>_xlfn.XLOOKUP(C40,[1]Sheet!$A:$A,[1]Sheet!$E:$E,"Not Found")</f>
        <v>Bravo</v>
      </c>
      <c r="O40" s="1">
        <f>_xlfn.XLOOKUP(C40,[1]Sheet!$A:$A,[1]Sheet!$F:$F,"Not Found")</f>
        <v>5</v>
      </c>
      <c r="P40" s="1" t="str">
        <f>_xlfn.XLOOKUP(C40,[1]Sheet!$A:$A,[1]Sheet!$G:$G,"Not Found")</f>
        <v>Low</v>
      </c>
      <c r="Q40" s="32">
        <f>Table1[[#This Row],[Current Stock]]*Table1[[#This Row],[Unit Cost (Currency)]]</f>
        <v>10472</v>
      </c>
      <c r="AB40" s="61" t="s">
        <v>359</v>
      </c>
      <c r="AC40" s="61"/>
      <c r="AD40" s="61"/>
      <c r="AE40" s="114">
        <v>129</v>
      </c>
      <c r="AF40" s="115"/>
      <c r="AG40" s="62">
        <f>AE40/(AE40+AE41)*100</f>
        <v>93.478260869565219</v>
      </c>
    </row>
    <row r="41" spans="1:33" ht="18" x14ac:dyDescent="0.35">
      <c r="A41" s="13" t="s">
        <v>84</v>
      </c>
      <c r="B41" s="2">
        <v>46209</v>
      </c>
      <c r="C41" s="1" t="s">
        <v>57</v>
      </c>
      <c r="D41" s="1" t="s">
        <v>12</v>
      </c>
      <c r="E41" s="1" t="s">
        <v>18</v>
      </c>
      <c r="F41" s="1">
        <v>1</v>
      </c>
      <c r="G41" s="1">
        <v>30</v>
      </c>
      <c r="H41" s="1">
        <v>86</v>
      </c>
      <c r="I41" s="1">
        <v>56</v>
      </c>
      <c r="J41" s="14" t="s">
        <v>19</v>
      </c>
      <c r="K41" s="1" t="str">
        <f>_xlfn.XLOOKUP(C41,[1]Sheet!$A:$A,[1]Sheet!$B:$B,"Not Found")</f>
        <v>Component 11</v>
      </c>
      <c r="L41" s="1" t="str">
        <f>_xlfn.XLOOKUP(C41,[1]Sheet!$A:$A,[1]Sheet!$C:$C,"Not Found")</f>
        <v>Electrical</v>
      </c>
      <c r="M41" s="29">
        <f>_xlfn.XLOOKUP(C41,[1]Sheet!$A:$A,[1]Sheet!$D:$D,"Not Found")</f>
        <v>386</v>
      </c>
      <c r="N41" s="1" t="str">
        <f>_xlfn.XLOOKUP(C41,[1]Sheet!$A:$A,[1]Sheet!$E:$E,"Not Found")</f>
        <v>Central</v>
      </c>
      <c r="O41" s="1">
        <f>_xlfn.XLOOKUP(C41,[1]Sheet!$A:$A,[1]Sheet!$F:$F,"Not Found")</f>
        <v>19</v>
      </c>
      <c r="P41" s="1" t="str">
        <f>_xlfn.XLOOKUP(C41,[1]Sheet!$A:$A,[1]Sheet!$G:$G,"Not Found")</f>
        <v>High</v>
      </c>
      <c r="Q41" s="32">
        <f>Table1[[#This Row],[Current Stock]]*Table1[[#This Row],[Unit Cost (Currency)]]</f>
        <v>33196</v>
      </c>
      <c r="AB41" s="113" t="s">
        <v>348</v>
      </c>
      <c r="AC41" s="113"/>
      <c r="AD41" s="113"/>
      <c r="AE41" s="116">
        <v>9</v>
      </c>
      <c r="AF41" s="117"/>
      <c r="AG41" s="63">
        <f>AE41/(AE40+AE41)*100</f>
        <v>6.5217391304347823</v>
      </c>
    </row>
    <row r="42" spans="1:33" x14ac:dyDescent="0.3">
      <c r="A42" s="13" t="s">
        <v>85</v>
      </c>
      <c r="B42" s="2">
        <v>46202</v>
      </c>
      <c r="C42" s="1" t="s">
        <v>86</v>
      </c>
      <c r="D42" s="1" t="s">
        <v>26</v>
      </c>
      <c r="E42" s="1" t="s">
        <v>37</v>
      </c>
      <c r="F42" s="1">
        <v>86</v>
      </c>
      <c r="G42" s="1">
        <v>91</v>
      </c>
      <c r="H42" s="1">
        <v>32</v>
      </c>
      <c r="I42" s="1">
        <v>71</v>
      </c>
      <c r="J42" s="14" t="s">
        <v>14</v>
      </c>
      <c r="K42" s="1" t="str">
        <f>_xlfn.XLOOKUP(C42,[1]Sheet!$A:$A,[1]Sheet!$B:$B,"Not Found")</f>
        <v>Component 33</v>
      </c>
      <c r="L42" s="1" t="str">
        <f>_xlfn.XLOOKUP(C42,[1]Sheet!$A:$A,[1]Sheet!$C:$C,"Not Found")</f>
        <v>Packaging</v>
      </c>
      <c r="M42" s="29">
        <f>_xlfn.XLOOKUP(C42,[1]Sheet!$A:$A,[1]Sheet!$D:$D,"Not Found")</f>
        <v>293</v>
      </c>
      <c r="N42" s="1" t="str">
        <f>_xlfn.XLOOKUP(C42,[1]Sheet!$A:$A,[1]Sheet!$E:$E,"Not Found")</f>
        <v>Delta</v>
      </c>
      <c r="O42" s="1">
        <f>_xlfn.XLOOKUP(C42,[1]Sheet!$A:$A,[1]Sheet!$F:$F,"Not Found")</f>
        <v>15</v>
      </c>
      <c r="P42" s="1" t="str">
        <f>_xlfn.XLOOKUP(C42,[1]Sheet!$A:$A,[1]Sheet!$G:$G,"Not Found")</f>
        <v>Low</v>
      </c>
      <c r="Q42" s="32">
        <f>Table1[[#This Row],[Current Stock]]*Table1[[#This Row],[Unit Cost (Currency)]]</f>
        <v>9376</v>
      </c>
    </row>
    <row r="43" spans="1:33" x14ac:dyDescent="0.3">
      <c r="A43" s="13" t="s">
        <v>87</v>
      </c>
      <c r="B43" s="2">
        <v>46182</v>
      </c>
      <c r="C43" s="1" t="s">
        <v>88</v>
      </c>
      <c r="D43" s="1" t="s">
        <v>12</v>
      </c>
      <c r="E43" s="1" t="s">
        <v>13</v>
      </c>
      <c r="F43" s="1">
        <v>78</v>
      </c>
      <c r="G43" s="1">
        <v>24</v>
      </c>
      <c r="H43" s="1">
        <v>9</v>
      </c>
      <c r="I43" s="1">
        <v>38</v>
      </c>
      <c r="J43" s="14" t="s">
        <v>19</v>
      </c>
      <c r="K43" s="1" t="str">
        <f>_xlfn.XLOOKUP(C43,[1]Sheet!$A:$A,[1]Sheet!$B:$B,"Not Found")</f>
        <v>Component 30</v>
      </c>
      <c r="L43" s="1" t="str">
        <f>_xlfn.XLOOKUP(C43,[1]Sheet!$A:$A,[1]Sheet!$C:$C,"Not Found")</f>
        <v>Packaging</v>
      </c>
      <c r="M43" s="29">
        <f>_xlfn.XLOOKUP(C43,[1]Sheet!$A:$A,[1]Sheet!$D:$D,"Not Found")</f>
        <v>190</v>
      </c>
      <c r="N43" s="1" t="str">
        <f>_xlfn.XLOOKUP(C43,[1]Sheet!$A:$A,[1]Sheet!$E:$E,"Not Found")</f>
        <v>Alpha</v>
      </c>
      <c r="O43" s="1">
        <f>_xlfn.XLOOKUP(C43,[1]Sheet!$A:$A,[1]Sheet!$F:$F,"Not Found")</f>
        <v>11</v>
      </c>
      <c r="P43" s="1" t="str">
        <f>_xlfn.XLOOKUP(C43,[1]Sheet!$A:$A,[1]Sheet!$G:$G,"Not Found")</f>
        <v>High</v>
      </c>
      <c r="Q43" s="32">
        <f>Table1[[#This Row],[Current Stock]]*Table1[[#This Row],[Unit Cost (Currency)]]</f>
        <v>1710</v>
      </c>
    </row>
    <row r="44" spans="1:33" x14ac:dyDescent="0.3">
      <c r="A44" s="13" t="s">
        <v>89</v>
      </c>
      <c r="B44" s="2">
        <v>46198</v>
      </c>
      <c r="C44" s="1" t="s">
        <v>90</v>
      </c>
      <c r="D44" s="1" t="s">
        <v>17</v>
      </c>
      <c r="E44" s="1" t="s">
        <v>37</v>
      </c>
      <c r="F44" s="1">
        <v>57</v>
      </c>
      <c r="G44" s="1">
        <v>68</v>
      </c>
      <c r="H44" s="1">
        <v>162</v>
      </c>
      <c r="I44" s="1">
        <v>68</v>
      </c>
      <c r="J44" s="14" t="s">
        <v>19</v>
      </c>
      <c r="K44" s="1" t="str">
        <f>_xlfn.XLOOKUP(C44,[1]Sheet!$A:$A,[1]Sheet!$B:$B,"Not Found")</f>
        <v>Component 22</v>
      </c>
      <c r="L44" s="1" t="str">
        <f>_xlfn.XLOOKUP(C44,[1]Sheet!$A:$A,[1]Sheet!$C:$C,"Not Found")</f>
        <v>Packaging</v>
      </c>
      <c r="M44" s="29">
        <f>_xlfn.XLOOKUP(C44,[1]Sheet!$A:$A,[1]Sheet!$D:$D,"Not Found")</f>
        <v>421</v>
      </c>
      <c r="N44" s="1" t="str">
        <f>_xlfn.XLOOKUP(C44,[1]Sheet!$A:$A,[1]Sheet!$E:$E,"Not Found")</f>
        <v>Bravo</v>
      </c>
      <c r="O44" s="1">
        <f>_xlfn.XLOOKUP(C44,[1]Sheet!$A:$A,[1]Sheet!$F:$F,"Not Found")</f>
        <v>12</v>
      </c>
      <c r="P44" s="1" t="str">
        <f>_xlfn.XLOOKUP(C44,[1]Sheet!$A:$A,[1]Sheet!$G:$G,"Not Found")</f>
        <v>Medium</v>
      </c>
      <c r="Q44" s="32">
        <f>Table1[[#This Row],[Current Stock]]*Table1[[#This Row],[Unit Cost (Currency)]]</f>
        <v>68202</v>
      </c>
    </row>
    <row r="45" spans="1:33" x14ac:dyDescent="0.3">
      <c r="A45" s="13" t="s">
        <v>91</v>
      </c>
      <c r="B45" s="2">
        <v>46192</v>
      </c>
      <c r="C45" s="1" t="s">
        <v>57</v>
      </c>
      <c r="D45" s="1" t="s">
        <v>26</v>
      </c>
      <c r="E45" s="1" t="s">
        <v>13</v>
      </c>
      <c r="F45" s="1">
        <v>35</v>
      </c>
      <c r="G45" s="1">
        <v>96</v>
      </c>
      <c r="H45" s="1">
        <v>178</v>
      </c>
      <c r="I45" s="1">
        <v>32</v>
      </c>
      <c r="J45" s="14" t="s">
        <v>19</v>
      </c>
      <c r="K45" s="1" t="str">
        <f>_xlfn.XLOOKUP(C45,[1]Sheet!$A:$A,[1]Sheet!$B:$B,"Not Found")</f>
        <v>Component 11</v>
      </c>
      <c r="L45" s="1" t="str">
        <f>_xlfn.XLOOKUP(C45,[1]Sheet!$A:$A,[1]Sheet!$C:$C,"Not Found")</f>
        <v>Electrical</v>
      </c>
      <c r="M45" s="29">
        <f>_xlfn.XLOOKUP(C45,[1]Sheet!$A:$A,[1]Sheet!$D:$D,"Not Found")</f>
        <v>386</v>
      </c>
      <c r="N45" s="1" t="str">
        <f>_xlfn.XLOOKUP(C45,[1]Sheet!$A:$A,[1]Sheet!$E:$E,"Not Found")</f>
        <v>Central</v>
      </c>
      <c r="O45" s="1">
        <f>_xlfn.XLOOKUP(C45,[1]Sheet!$A:$A,[1]Sheet!$F:$F,"Not Found")</f>
        <v>19</v>
      </c>
      <c r="P45" s="1" t="str">
        <f>_xlfn.XLOOKUP(C45,[1]Sheet!$A:$A,[1]Sheet!$G:$G,"Not Found")</f>
        <v>High</v>
      </c>
      <c r="Q45" s="32">
        <f>Table1[[#This Row],[Current Stock]]*Table1[[#This Row],[Unit Cost (Currency)]]</f>
        <v>68708</v>
      </c>
    </row>
    <row r="46" spans="1:33" x14ac:dyDescent="0.3">
      <c r="A46" s="13" t="s">
        <v>92</v>
      </c>
      <c r="B46" s="2">
        <v>46213</v>
      </c>
      <c r="C46" s="1" t="s">
        <v>63</v>
      </c>
      <c r="D46" s="1" t="s">
        <v>12</v>
      </c>
      <c r="E46" s="1" t="s">
        <v>13</v>
      </c>
      <c r="F46" s="1">
        <v>41</v>
      </c>
      <c r="G46" s="1">
        <v>52</v>
      </c>
      <c r="H46" s="1">
        <v>164</v>
      </c>
      <c r="I46" s="1">
        <v>79</v>
      </c>
      <c r="J46" s="14" t="s">
        <v>19</v>
      </c>
      <c r="K46" s="1" t="str">
        <f>_xlfn.XLOOKUP(C46,[1]Sheet!$A:$A,[1]Sheet!$B:$B,"Not Found")</f>
        <v>Component 32</v>
      </c>
      <c r="L46" s="1" t="str">
        <f>_xlfn.XLOOKUP(C46,[1]Sheet!$A:$A,[1]Sheet!$C:$C,"Not Found")</f>
        <v>Packaging</v>
      </c>
      <c r="M46" s="29">
        <f>_xlfn.XLOOKUP(C46,[1]Sheet!$A:$A,[1]Sheet!$D:$D,"Not Found")</f>
        <v>282</v>
      </c>
      <c r="N46" s="1" t="str">
        <f>_xlfn.XLOOKUP(C46,[1]Sheet!$A:$A,[1]Sheet!$E:$E,"Not Found")</f>
        <v>Alpha</v>
      </c>
      <c r="O46" s="1">
        <f>_xlfn.XLOOKUP(C46,[1]Sheet!$A:$A,[1]Sheet!$F:$F,"Not Found")</f>
        <v>21</v>
      </c>
      <c r="P46" s="1" t="str">
        <f>_xlfn.XLOOKUP(C46,[1]Sheet!$A:$A,[1]Sheet!$G:$G,"Not Found")</f>
        <v>High</v>
      </c>
      <c r="Q46" s="32">
        <f>Table1[[#This Row],[Current Stock]]*Table1[[#This Row],[Unit Cost (Currency)]]</f>
        <v>46248</v>
      </c>
    </row>
    <row r="47" spans="1:33" x14ac:dyDescent="0.3">
      <c r="A47" s="13" t="s">
        <v>93</v>
      </c>
      <c r="B47" s="2">
        <v>46218</v>
      </c>
      <c r="C47" s="1" t="s">
        <v>31</v>
      </c>
      <c r="D47" s="1" t="s">
        <v>12</v>
      </c>
      <c r="E47" s="1" t="s">
        <v>37</v>
      </c>
      <c r="F47" s="1">
        <v>99</v>
      </c>
      <c r="G47" s="1">
        <v>45</v>
      </c>
      <c r="H47" s="1">
        <v>202</v>
      </c>
      <c r="I47" s="1">
        <v>50</v>
      </c>
      <c r="J47" s="14" t="s">
        <v>19</v>
      </c>
      <c r="K47" s="1" t="str">
        <f>_xlfn.XLOOKUP(C47,[1]Sheet!$A:$A,[1]Sheet!$B:$B,"Not Found")</f>
        <v>Component 24</v>
      </c>
      <c r="L47" s="1" t="str">
        <f>_xlfn.XLOOKUP(C47,[1]Sheet!$A:$A,[1]Sheet!$C:$C,"Not Found")</f>
        <v>Packaging</v>
      </c>
      <c r="M47" s="29">
        <f>_xlfn.XLOOKUP(C47,[1]Sheet!$A:$A,[1]Sheet!$D:$D,"Not Found")</f>
        <v>224</v>
      </c>
      <c r="N47" s="1" t="str">
        <f>_xlfn.XLOOKUP(C47,[1]Sheet!$A:$A,[1]Sheet!$E:$E,"Not Found")</f>
        <v>Bravo</v>
      </c>
      <c r="O47" s="1">
        <f>_xlfn.XLOOKUP(C47,[1]Sheet!$A:$A,[1]Sheet!$F:$F,"Not Found")</f>
        <v>12</v>
      </c>
      <c r="P47" s="1" t="str">
        <f>_xlfn.XLOOKUP(C47,[1]Sheet!$A:$A,[1]Sheet!$G:$G,"Not Found")</f>
        <v>Medium</v>
      </c>
      <c r="Q47" s="32">
        <f>Table1[[#This Row],[Current Stock]]*Table1[[#This Row],[Unit Cost (Currency)]]</f>
        <v>45248</v>
      </c>
    </row>
    <row r="48" spans="1:33" x14ac:dyDescent="0.3">
      <c r="A48" s="13" t="s">
        <v>94</v>
      </c>
      <c r="B48" s="2">
        <v>46217</v>
      </c>
      <c r="C48" s="1" t="s">
        <v>69</v>
      </c>
      <c r="D48" s="1" t="s">
        <v>26</v>
      </c>
      <c r="E48" s="1" t="s">
        <v>18</v>
      </c>
      <c r="F48" s="1">
        <v>42</v>
      </c>
      <c r="G48" s="1">
        <v>17</v>
      </c>
      <c r="H48" s="1">
        <v>226</v>
      </c>
      <c r="I48" s="1">
        <v>25</v>
      </c>
      <c r="J48" s="14" t="s">
        <v>19</v>
      </c>
      <c r="K48" s="1" t="str">
        <f>_xlfn.XLOOKUP(C48,[1]Sheet!$A:$A,[1]Sheet!$B:$B,"Not Found")</f>
        <v>Component 16</v>
      </c>
      <c r="L48" s="1" t="str">
        <f>_xlfn.XLOOKUP(C48,[1]Sheet!$A:$A,[1]Sheet!$C:$C,"Not Found")</f>
        <v>Safety</v>
      </c>
      <c r="M48" s="29">
        <f>_xlfn.XLOOKUP(C48,[1]Sheet!$A:$A,[1]Sheet!$D:$D,"Not Found")</f>
        <v>245</v>
      </c>
      <c r="N48" s="1" t="str">
        <f>_xlfn.XLOOKUP(C48,[1]Sheet!$A:$A,[1]Sheet!$E:$E,"Not Found")</f>
        <v>Central</v>
      </c>
      <c r="O48" s="1">
        <f>_xlfn.XLOOKUP(C48,[1]Sheet!$A:$A,[1]Sheet!$F:$F,"Not Found")</f>
        <v>19</v>
      </c>
      <c r="P48" s="1" t="str">
        <f>_xlfn.XLOOKUP(C48,[1]Sheet!$A:$A,[1]Sheet!$G:$G,"Not Found")</f>
        <v>High</v>
      </c>
      <c r="Q48" s="32">
        <f>Table1[[#This Row],[Current Stock]]*Table1[[#This Row],[Unit Cost (Currency)]]</f>
        <v>55370</v>
      </c>
    </row>
    <row r="49" spans="1:17" x14ac:dyDescent="0.3">
      <c r="A49" s="13" t="s">
        <v>95</v>
      </c>
      <c r="B49" s="2">
        <v>46174</v>
      </c>
      <c r="C49" s="1" t="s">
        <v>65</v>
      </c>
      <c r="D49" s="1" t="s">
        <v>12</v>
      </c>
      <c r="E49" s="1" t="s">
        <v>13</v>
      </c>
      <c r="F49" s="1">
        <v>115</v>
      </c>
      <c r="G49" s="1">
        <v>100</v>
      </c>
      <c r="H49" s="1">
        <v>45</v>
      </c>
      <c r="I49" s="1">
        <v>62</v>
      </c>
      <c r="J49" s="14" t="s">
        <v>19</v>
      </c>
      <c r="K49" s="1" t="str">
        <f>_xlfn.XLOOKUP(C49,[1]Sheet!$A:$A,[1]Sheet!$B:$B,"Not Found")</f>
        <v>Component 37</v>
      </c>
      <c r="L49" s="1" t="str">
        <f>_xlfn.XLOOKUP(C49,[1]Sheet!$A:$A,[1]Sheet!$C:$C,"Not Found")</f>
        <v>Packaging</v>
      </c>
      <c r="M49" s="29">
        <f>_xlfn.XLOOKUP(C49,[1]Sheet!$A:$A,[1]Sheet!$D:$D,"Not Found")</f>
        <v>186</v>
      </c>
      <c r="N49" s="1" t="str">
        <f>_xlfn.XLOOKUP(C49,[1]Sheet!$A:$A,[1]Sheet!$E:$E,"Not Found")</f>
        <v>Central</v>
      </c>
      <c r="O49" s="1">
        <f>_xlfn.XLOOKUP(C49,[1]Sheet!$A:$A,[1]Sheet!$F:$F,"Not Found")</f>
        <v>19</v>
      </c>
      <c r="P49" s="1" t="str">
        <f>_xlfn.XLOOKUP(C49,[1]Sheet!$A:$A,[1]Sheet!$G:$G,"Not Found")</f>
        <v>Medium</v>
      </c>
      <c r="Q49" s="32">
        <f>Table1[[#This Row],[Current Stock]]*Table1[[#This Row],[Unit Cost (Currency)]]</f>
        <v>8370</v>
      </c>
    </row>
    <row r="50" spans="1:17" x14ac:dyDescent="0.3">
      <c r="A50" s="13" t="s">
        <v>96</v>
      </c>
      <c r="B50" s="2">
        <v>46212</v>
      </c>
      <c r="C50" s="1" t="s">
        <v>55</v>
      </c>
      <c r="D50" s="1" t="s">
        <v>12</v>
      </c>
      <c r="E50" s="1" t="s">
        <v>13</v>
      </c>
      <c r="F50" s="1">
        <v>98</v>
      </c>
      <c r="G50" s="1">
        <v>5</v>
      </c>
      <c r="H50" s="1">
        <v>161</v>
      </c>
      <c r="I50" s="1">
        <v>80</v>
      </c>
      <c r="J50" s="14" t="s">
        <v>19</v>
      </c>
      <c r="K50" s="1" t="str">
        <f>_xlfn.XLOOKUP(C50,[1]Sheet!$A:$A,[1]Sheet!$B:$B,"Not Found")</f>
        <v>Component 14</v>
      </c>
      <c r="L50" s="1" t="str">
        <f>_xlfn.XLOOKUP(C50,[1]Sheet!$A:$A,[1]Sheet!$C:$C,"Not Found")</f>
        <v>Mechanical</v>
      </c>
      <c r="M50" s="29">
        <f>_xlfn.XLOOKUP(C50,[1]Sheet!$A:$A,[1]Sheet!$D:$D,"Not Found")</f>
        <v>270</v>
      </c>
      <c r="N50" s="1" t="str">
        <f>_xlfn.XLOOKUP(C50,[1]Sheet!$A:$A,[1]Sheet!$E:$E,"Not Found")</f>
        <v>Central</v>
      </c>
      <c r="O50" s="1">
        <f>_xlfn.XLOOKUP(C50,[1]Sheet!$A:$A,[1]Sheet!$F:$F,"Not Found")</f>
        <v>4</v>
      </c>
      <c r="P50" s="1" t="str">
        <f>_xlfn.XLOOKUP(C50,[1]Sheet!$A:$A,[1]Sheet!$G:$G,"Not Found")</f>
        <v>Medium</v>
      </c>
      <c r="Q50" s="32">
        <f>Table1[[#This Row],[Current Stock]]*Table1[[#This Row],[Unit Cost (Currency)]]</f>
        <v>43470</v>
      </c>
    </row>
    <row r="51" spans="1:17" x14ac:dyDescent="0.3">
      <c r="A51" s="13" t="s">
        <v>97</v>
      </c>
      <c r="B51" s="2">
        <v>46190</v>
      </c>
      <c r="C51" s="1" t="s">
        <v>69</v>
      </c>
      <c r="D51" s="1" t="s">
        <v>12</v>
      </c>
      <c r="E51" s="1" t="s">
        <v>13</v>
      </c>
      <c r="F51" s="1">
        <v>41</v>
      </c>
      <c r="G51" s="1">
        <v>13</v>
      </c>
      <c r="H51" s="1">
        <v>206</v>
      </c>
      <c r="I51" s="1">
        <v>40</v>
      </c>
      <c r="J51" s="14" t="s">
        <v>14</v>
      </c>
      <c r="K51" s="1" t="str">
        <f>_xlfn.XLOOKUP(C51,[1]Sheet!$A:$A,[1]Sheet!$B:$B,"Not Found")</f>
        <v>Component 16</v>
      </c>
      <c r="L51" s="1" t="str">
        <f>_xlfn.XLOOKUP(C51,[1]Sheet!$A:$A,[1]Sheet!$C:$C,"Not Found")</f>
        <v>Safety</v>
      </c>
      <c r="M51" s="29">
        <f>_xlfn.XLOOKUP(C51,[1]Sheet!$A:$A,[1]Sheet!$D:$D,"Not Found")</f>
        <v>245</v>
      </c>
      <c r="N51" s="1" t="str">
        <f>_xlfn.XLOOKUP(C51,[1]Sheet!$A:$A,[1]Sheet!$E:$E,"Not Found")</f>
        <v>Central</v>
      </c>
      <c r="O51" s="1">
        <f>_xlfn.XLOOKUP(C51,[1]Sheet!$A:$A,[1]Sheet!$F:$F,"Not Found")</f>
        <v>19</v>
      </c>
      <c r="P51" s="1" t="str">
        <f>_xlfn.XLOOKUP(C51,[1]Sheet!$A:$A,[1]Sheet!$G:$G,"Not Found")</f>
        <v>High</v>
      </c>
      <c r="Q51" s="32">
        <f>Table1[[#This Row],[Current Stock]]*Table1[[#This Row],[Unit Cost (Currency)]]</f>
        <v>50470</v>
      </c>
    </row>
    <row r="52" spans="1:17" x14ac:dyDescent="0.3">
      <c r="A52" s="13" t="s">
        <v>98</v>
      </c>
      <c r="B52" s="2">
        <v>46175</v>
      </c>
      <c r="C52" s="1" t="s">
        <v>86</v>
      </c>
      <c r="D52" s="1" t="s">
        <v>26</v>
      </c>
      <c r="E52" s="1" t="s">
        <v>18</v>
      </c>
      <c r="F52" s="1">
        <v>71</v>
      </c>
      <c r="G52" s="1">
        <v>14</v>
      </c>
      <c r="H52" s="1">
        <v>82</v>
      </c>
      <c r="I52" s="1">
        <v>53</v>
      </c>
      <c r="J52" s="14" t="s">
        <v>14</v>
      </c>
      <c r="K52" s="1" t="str">
        <f>_xlfn.XLOOKUP(C52,[1]Sheet!$A:$A,[1]Sheet!$B:$B,"Not Found")</f>
        <v>Component 33</v>
      </c>
      <c r="L52" s="1" t="str">
        <f>_xlfn.XLOOKUP(C52,[1]Sheet!$A:$A,[1]Sheet!$C:$C,"Not Found")</f>
        <v>Packaging</v>
      </c>
      <c r="M52" s="29">
        <f>_xlfn.XLOOKUP(C52,[1]Sheet!$A:$A,[1]Sheet!$D:$D,"Not Found")</f>
        <v>293</v>
      </c>
      <c r="N52" s="1" t="str">
        <f>_xlfn.XLOOKUP(C52,[1]Sheet!$A:$A,[1]Sheet!$E:$E,"Not Found")</f>
        <v>Delta</v>
      </c>
      <c r="O52" s="1">
        <f>_xlfn.XLOOKUP(C52,[1]Sheet!$A:$A,[1]Sheet!$F:$F,"Not Found")</f>
        <v>15</v>
      </c>
      <c r="P52" s="1" t="str">
        <f>_xlfn.XLOOKUP(C52,[1]Sheet!$A:$A,[1]Sheet!$G:$G,"Not Found")</f>
        <v>Low</v>
      </c>
      <c r="Q52" s="32">
        <f>Table1[[#This Row],[Current Stock]]*Table1[[#This Row],[Unit Cost (Currency)]]</f>
        <v>24026</v>
      </c>
    </row>
    <row r="53" spans="1:17" x14ac:dyDescent="0.3">
      <c r="A53" s="13" t="s">
        <v>99</v>
      </c>
      <c r="B53" s="2">
        <v>46178</v>
      </c>
      <c r="C53" s="1" t="s">
        <v>73</v>
      </c>
      <c r="D53" s="1" t="s">
        <v>17</v>
      </c>
      <c r="E53" s="1" t="s">
        <v>37</v>
      </c>
      <c r="F53" s="1">
        <v>114</v>
      </c>
      <c r="G53" s="1">
        <v>43</v>
      </c>
      <c r="H53" s="1">
        <v>8</v>
      </c>
      <c r="I53" s="1">
        <v>76</v>
      </c>
      <c r="J53" s="14" t="s">
        <v>14</v>
      </c>
      <c r="K53" s="1" t="str">
        <f>_xlfn.XLOOKUP(C53,[1]Sheet!$A:$A,[1]Sheet!$B:$B,"Not Found")</f>
        <v>Component 8</v>
      </c>
      <c r="L53" s="1" t="str">
        <f>_xlfn.XLOOKUP(C53,[1]Sheet!$A:$A,[1]Sheet!$C:$C,"Not Found")</f>
        <v>Electrical</v>
      </c>
      <c r="M53" s="29">
        <f>_xlfn.XLOOKUP(C53,[1]Sheet!$A:$A,[1]Sheet!$D:$D,"Not Found")</f>
        <v>245</v>
      </c>
      <c r="N53" s="1" t="str">
        <f>_xlfn.XLOOKUP(C53,[1]Sheet!$A:$A,[1]Sheet!$E:$E,"Not Found")</f>
        <v>Delta</v>
      </c>
      <c r="O53" s="1">
        <f>_xlfn.XLOOKUP(C53,[1]Sheet!$A:$A,[1]Sheet!$F:$F,"Not Found")</f>
        <v>5</v>
      </c>
      <c r="P53" s="1" t="str">
        <f>_xlfn.XLOOKUP(C53,[1]Sheet!$A:$A,[1]Sheet!$G:$G,"Not Found")</f>
        <v>Low</v>
      </c>
      <c r="Q53" s="32">
        <f>Table1[[#This Row],[Current Stock]]*Table1[[#This Row],[Unit Cost (Currency)]]</f>
        <v>1960</v>
      </c>
    </row>
    <row r="54" spans="1:17" x14ac:dyDescent="0.3">
      <c r="A54" s="13" t="s">
        <v>100</v>
      </c>
      <c r="B54" s="2">
        <v>46185</v>
      </c>
      <c r="C54" s="1" t="s">
        <v>67</v>
      </c>
      <c r="D54" s="1" t="s">
        <v>12</v>
      </c>
      <c r="E54" s="1" t="s">
        <v>18</v>
      </c>
      <c r="F54" s="1">
        <v>20</v>
      </c>
      <c r="G54" s="1">
        <v>67</v>
      </c>
      <c r="H54" s="1">
        <v>211</v>
      </c>
      <c r="I54" s="1">
        <v>34</v>
      </c>
      <c r="J54" s="14" t="s">
        <v>14</v>
      </c>
      <c r="K54" s="1" t="str">
        <f>_xlfn.XLOOKUP(C54,[1]Sheet!$A:$A,[1]Sheet!$B:$B,"Not Found")</f>
        <v>Component 34</v>
      </c>
      <c r="L54" s="1" t="str">
        <f>_xlfn.XLOOKUP(C54,[1]Sheet!$A:$A,[1]Sheet!$C:$C,"Not Found")</f>
        <v>Electrical</v>
      </c>
      <c r="M54" s="29">
        <f>_xlfn.XLOOKUP(C54,[1]Sheet!$A:$A,[1]Sheet!$D:$D,"Not Found")</f>
        <v>71</v>
      </c>
      <c r="N54" s="1" t="str">
        <f>_xlfn.XLOOKUP(C54,[1]Sheet!$A:$A,[1]Sheet!$E:$E,"Not Found")</f>
        <v>Delta</v>
      </c>
      <c r="O54" s="1">
        <f>_xlfn.XLOOKUP(C54,[1]Sheet!$A:$A,[1]Sheet!$F:$F,"Not Found")</f>
        <v>24</v>
      </c>
      <c r="P54" s="1" t="str">
        <f>_xlfn.XLOOKUP(C54,[1]Sheet!$A:$A,[1]Sheet!$G:$G,"Not Found")</f>
        <v>Medium</v>
      </c>
      <c r="Q54" s="32">
        <f>Table1[[#This Row],[Current Stock]]*Table1[[#This Row],[Unit Cost (Currency)]]</f>
        <v>14981</v>
      </c>
    </row>
    <row r="55" spans="1:17" x14ac:dyDescent="0.3">
      <c r="A55" s="13" t="s">
        <v>101</v>
      </c>
      <c r="B55" s="2">
        <v>46198</v>
      </c>
      <c r="C55" s="1" t="s">
        <v>57</v>
      </c>
      <c r="D55" s="1" t="s">
        <v>26</v>
      </c>
      <c r="E55" s="1" t="s">
        <v>13</v>
      </c>
      <c r="F55" s="1">
        <v>108</v>
      </c>
      <c r="G55" s="1">
        <v>19</v>
      </c>
      <c r="H55" s="1">
        <v>180</v>
      </c>
      <c r="I55" s="1">
        <v>56</v>
      </c>
      <c r="J55" s="14" t="s">
        <v>14</v>
      </c>
      <c r="K55" s="1" t="str">
        <f>_xlfn.XLOOKUP(C55,[1]Sheet!$A:$A,[1]Sheet!$B:$B,"Not Found")</f>
        <v>Component 11</v>
      </c>
      <c r="L55" s="1" t="str">
        <f>_xlfn.XLOOKUP(C55,[1]Sheet!$A:$A,[1]Sheet!$C:$C,"Not Found")</f>
        <v>Electrical</v>
      </c>
      <c r="M55" s="29">
        <f>_xlfn.XLOOKUP(C55,[1]Sheet!$A:$A,[1]Sheet!$D:$D,"Not Found")</f>
        <v>386</v>
      </c>
      <c r="N55" s="1" t="str">
        <f>_xlfn.XLOOKUP(C55,[1]Sheet!$A:$A,[1]Sheet!$E:$E,"Not Found")</f>
        <v>Central</v>
      </c>
      <c r="O55" s="1">
        <f>_xlfn.XLOOKUP(C55,[1]Sheet!$A:$A,[1]Sheet!$F:$F,"Not Found")</f>
        <v>19</v>
      </c>
      <c r="P55" s="1" t="str">
        <f>_xlfn.XLOOKUP(C55,[1]Sheet!$A:$A,[1]Sheet!$G:$G,"Not Found")</f>
        <v>High</v>
      </c>
      <c r="Q55" s="32">
        <f>Table1[[#This Row],[Current Stock]]*Table1[[#This Row],[Unit Cost (Currency)]]</f>
        <v>69480</v>
      </c>
    </row>
    <row r="56" spans="1:17" x14ac:dyDescent="0.3">
      <c r="A56" s="13" t="s">
        <v>102</v>
      </c>
      <c r="B56" s="2">
        <v>46197</v>
      </c>
      <c r="C56" s="1" t="s">
        <v>69</v>
      </c>
      <c r="D56" s="1" t="s">
        <v>26</v>
      </c>
      <c r="E56" s="1" t="s">
        <v>37</v>
      </c>
      <c r="F56" s="1">
        <v>83</v>
      </c>
      <c r="G56" s="1">
        <v>57</v>
      </c>
      <c r="H56" s="1">
        <v>109</v>
      </c>
      <c r="I56" s="1">
        <v>51</v>
      </c>
      <c r="J56" s="14" t="s">
        <v>14</v>
      </c>
      <c r="K56" s="1" t="str">
        <f>_xlfn.XLOOKUP(C56,[1]Sheet!$A:$A,[1]Sheet!$B:$B,"Not Found")</f>
        <v>Component 16</v>
      </c>
      <c r="L56" s="1" t="str">
        <f>_xlfn.XLOOKUP(C56,[1]Sheet!$A:$A,[1]Sheet!$C:$C,"Not Found")</f>
        <v>Safety</v>
      </c>
      <c r="M56" s="29">
        <f>_xlfn.XLOOKUP(C56,[1]Sheet!$A:$A,[1]Sheet!$D:$D,"Not Found")</f>
        <v>245</v>
      </c>
      <c r="N56" s="1" t="str">
        <f>_xlfn.XLOOKUP(C56,[1]Sheet!$A:$A,[1]Sheet!$E:$E,"Not Found")</f>
        <v>Central</v>
      </c>
      <c r="O56" s="1">
        <f>_xlfn.XLOOKUP(C56,[1]Sheet!$A:$A,[1]Sheet!$F:$F,"Not Found")</f>
        <v>19</v>
      </c>
      <c r="P56" s="1" t="str">
        <f>_xlfn.XLOOKUP(C56,[1]Sheet!$A:$A,[1]Sheet!$G:$G,"Not Found")</f>
        <v>High</v>
      </c>
      <c r="Q56" s="32">
        <f>Table1[[#This Row],[Current Stock]]*Table1[[#This Row],[Unit Cost (Currency)]]</f>
        <v>26705</v>
      </c>
    </row>
    <row r="57" spans="1:17" x14ac:dyDescent="0.3">
      <c r="A57" s="13" t="s">
        <v>103</v>
      </c>
      <c r="B57" s="2">
        <v>46187</v>
      </c>
      <c r="C57" s="1" t="s">
        <v>16</v>
      </c>
      <c r="D57" s="1" t="s">
        <v>12</v>
      </c>
      <c r="E57" s="1" t="s">
        <v>37</v>
      </c>
      <c r="F57" s="1">
        <v>36</v>
      </c>
      <c r="G57" s="1">
        <v>24</v>
      </c>
      <c r="H57" s="1">
        <v>190</v>
      </c>
      <c r="I57" s="1">
        <v>36</v>
      </c>
      <c r="J57" s="14" t="s">
        <v>19</v>
      </c>
      <c r="K57" s="1" t="str">
        <f>_xlfn.XLOOKUP(C57,[1]Sheet!$A:$A,[1]Sheet!$B:$B,"Not Found")</f>
        <v>Component 39</v>
      </c>
      <c r="L57" s="1" t="str">
        <f>_xlfn.XLOOKUP(C57,[1]Sheet!$A:$A,[1]Sheet!$C:$C,"Not Found")</f>
        <v>Electrical</v>
      </c>
      <c r="M57" s="29">
        <f>_xlfn.XLOOKUP(C57,[1]Sheet!$A:$A,[1]Sheet!$D:$D,"Not Found")</f>
        <v>409</v>
      </c>
      <c r="N57" s="1" t="str">
        <f>_xlfn.XLOOKUP(C57,[1]Sheet!$A:$A,[1]Sheet!$E:$E,"Not Found")</f>
        <v>Central</v>
      </c>
      <c r="O57" s="1">
        <f>_xlfn.XLOOKUP(C57,[1]Sheet!$A:$A,[1]Sheet!$F:$F,"Not Found")</f>
        <v>28</v>
      </c>
      <c r="P57" s="1" t="str">
        <f>_xlfn.XLOOKUP(C57,[1]Sheet!$A:$A,[1]Sheet!$G:$G,"Not Found")</f>
        <v>Low</v>
      </c>
      <c r="Q57" s="32">
        <f>Table1[[#This Row],[Current Stock]]*Table1[[#This Row],[Unit Cost (Currency)]]</f>
        <v>77710</v>
      </c>
    </row>
    <row r="58" spans="1:17" x14ac:dyDescent="0.3">
      <c r="A58" s="13" t="s">
        <v>104</v>
      </c>
      <c r="B58" s="2">
        <v>46199</v>
      </c>
      <c r="C58" s="1" t="s">
        <v>31</v>
      </c>
      <c r="D58" s="1" t="s">
        <v>17</v>
      </c>
      <c r="E58" s="1" t="s">
        <v>18</v>
      </c>
      <c r="F58" s="1">
        <v>100</v>
      </c>
      <c r="G58" s="1">
        <v>75</v>
      </c>
      <c r="H58" s="1">
        <v>76</v>
      </c>
      <c r="I58" s="1">
        <v>22</v>
      </c>
      <c r="J58" s="14" t="s">
        <v>14</v>
      </c>
      <c r="K58" s="1" t="str">
        <f>_xlfn.XLOOKUP(C58,[1]Sheet!$A:$A,[1]Sheet!$B:$B,"Not Found")</f>
        <v>Component 24</v>
      </c>
      <c r="L58" s="1" t="str">
        <f>_xlfn.XLOOKUP(C58,[1]Sheet!$A:$A,[1]Sheet!$C:$C,"Not Found")</f>
        <v>Packaging</v>
      </c>
      <c r="M58" s="29">
        <f>_xlfn.XLOOKUP(C58,[1]Sheet!$A:$A,[1]Sheet!$D:$D,"Not Found")</f>
        <v>224</v>
      </c>
      <c r="N58" s="1" t="str">
        <f>_xlfn.XLOOKUP(C58,[1]Sheet!$A:$A,[1]Sheet!$E:$E,"Not Found")</f>
        <v>Bravo</v>
      </c>
      <c r="O58" s="1">
        <f>_xlfn.XLOOKUP(C58,[1]Sheet!$A:$A,[1]Sheet!$F:$F,"Not Found")</f>
        <v>12</v>
      </c>
      <c r="P58" s="1" t="str">
        <f>_xlfn.XLOOKUP(C58,[1]Sheet!$A:$A,[1]Sheet!$G:$G,"Not Found")</f>
        <v>Medium</v>
      </c>
      <c r="Q58" s="32">
        <f>Table1[[#This Row],[Current Stock]]*Table1[[#This Row],[Unit Cost (Currency)]]</f>
        <v>17024</v>
      </c>
    </row>
    <row r="59" spans="1:17" x14ac:dyDescent="0.3">
      <c r="A59" s="13" t="s">
        <v>105</v>
      </c>
      <c r="B59" s="2">
        <v>46187</v>
      </c>
      <c r="C59" s="1" t="s">
        <v>28</v>
      </c>
      <c r="D59" s="1" t="s">
        <v>12</v>
      </c>
      <c r="E59" s="1" t="s">
        <v>18</v>
      </c>
      <c r="F59" s="1">
        <v>62</v>
      </c>
      <c r="G59" s="1">
        <v>22</v>
      </c>
      <c r="H59" s="1">
        <v>94</v>
      </c>
      <c r="I59" s="1">
        <v>21</v>
      </c>
      <c r="J59" s="14" t="s">
        <v>14</v>
      </c>
      <c r="K59" s="1" t="str">
        <f>_xlfn.XLOOKUP(C59,[1]Sheet!$A:$A,[1]Sheet!$B:$B,"Not Found")</f>
        <v>Component 15</v>
      </c>
      <c r="L59" s="1" t="str">
        <f>_xlfn.XLOOKUP(C59,[1]Sheet!$A:$A,[1]Sheet!$C:$C,"Not Found")</f>
        <v>Electrical</v>
      </c>
      <c r="M59" s="29">
        <f>_xlfn.XLOOKUP(C59,[1]Sheet!$A:$A,[1]Sheet!$D:$D,"Not Found")</f>
        <v>406</v>
      </c>
      <c r="N59" s="1" t="str">
        <f>_xlfn.XLOOKUP(C59,[1]Sheet!$A:$A,[1]Sheet!$E:$E,"Not Found")</f>
        <v>Central</v>
      </c>
      <c r="O59" s="1">
        <f>_xlfn.XLOOKUP(C59,[1]Sheet!$A:$A,[1]Sheet!$F:$F,"Not Found")</f>
        <v>6</v>
      </c>
      <c r="P59" s="1" t="str">
        <f>_xlfn.XLOOKUP(C59,[1]Sheet!$A:$A,[1]Sheet!$G:$G,"Not Found")</f>
        <v>Low</v>
      </c>
      <c r="Q59" s="32">
        <f>Table1[[#This Row],[Current Stock]]*Table1[[#This Row],[Unit Cost (Currency)]]</f>
        <v>38164</v>
      </c>
    </row>
    <row r="60" spans="1:17" x14ac:dyDescent="0.3">
      <c r="A60" s="13" t="s">
        <v>106</v>
      </c>
      <c r="B60" s="2">
        <v>46219</v>
      </c>
      <c r="C60" s="1" t="s">
        <v>107</v>
      </c>
      <c r="D60" s="1" t="s">
        <v>26</v>
      </c>
      <c r="E60" s="1" t="s">
        <v>37</v>
      </c>
      <c r="F60" s="1">
        <v>65</v>
      </c>
      <c r="G60" s="1">
        <v>56</v>
      </c>
      <c r="H60" s="1">
        <v>194</v>
      </c>
      <c r="I60" s="1">
        <v>69</v>
      </c>
      <c r="J60" s="14" t="s">
        <v>19</v>
      </c>
      <c r="K60" s="1" t="str">
        <f>_xlfn.XLOOKUP(C60,[1]Sheet!$A:$A,[1]Sheet!$B:$B,"Not Found")</f>
        <v>Component 13</v>
      </c>
      <c r="L60" s="1" t="str">
        <f>_xlfn.XLOOKUP(C60,[1]Sheet!$A:$A,[1]Sheet!$C:$C,"Not Found")</f>
        <v>Packaging</v>
      </c>
      <c r="M60" s="29">
        <f>_xlfn.XLOOKUP(C60,[1]Sheet!$A:$A,[1]Sheet!$D:$D,"Not Found")</f>
        <v>494</v>
      </c>
      <c r="N60" s="1" t="str">
        <f>_xlfn.XLOOKUP(C60,[1]Sheet!$A:$A,[1]Sheet!$E:$E,"Not Found")</f>
        <v>Bravo</v>
      </c>
      <c r="O60" s="1">
        <f>_xlfn.XLOOKUP(C60,[1]Sheet!$A:$A,[1]Sheet!$F:$F,"Not Found")</f>
        <v>27</v>
      </c>
      <c r="P60" s="1" t="str">
        <f>_xlfn.XLOOKUP(C60,[1]Sheet!$A:$A,[1]Sheet!$G:$G,"Not Found")</f>
        <v>Low</v>
      </c>
      <c r="Q60" s="32">
        <f>Table1[[#This Row],[Current Stock]]*Table1[[#This Row],[Unit Cost (Currency)]]</f>
        <v>95836</v>
      </c>
    </row>
    <row r="61" spans="1:17" x14ac:dyDescent="0.3">
      <c r="A61" s="13" t="s">
        <v>108</v>
      </c>
      <c r="B61" s="2">
        <v>46207</v>
      </c>
      <c r="C61" s="1" t="s">
        <v>109</v>
      </c>
      <c r="D61" s="1" t="s">
        <v>17</v>
      </c>
      <c r="E61" s="1" t="s">
        <v>37</v>
      </c>
      <c r="F61" s="1">
        <v>86</v>
      </c>
      <c r="G61" s="1">
        <v>42</v>
      </c>
      <c r="H61" s="1">
        <v>55</v>
      </c>
      <c r="I61" s="1">
        <v>72</v>
      </c>
      <c r="J61" s="14" t="s">
        <v>14</v>
      </c>
      <c r="K61" s="1" t="str">
        <f>_xlfn.XLOOKUP(C61,[1]Sheet!$A:$A,[1]Sheet!$B:$B,"Not Found")</f>
        <v>Component 35</v>
      </c>
      <c r="L61" s="1" t="str">
        <f>_xlfn.XLOOKUP(C61,[1]Sheet!$A:$A,[1]Sheet!$C:$C,"Not Found")</f>
        <v>Safety</v>
      </c>
      <c r="M61" s="29">
        <f>_xlfn.XLOOKUP(C61,[1]Sheet!$A:$A,[1]Sheet!$D:$D,"Not Found")</f>
        <v>298</v>
      </c>
      <c r="N61" s="1" t="str">
        <f>_xlfn.XLOOKUP(C61,[1]Sheet!$A:$A,[1]Sheet!$E:$E,"Not Found")</f>
        <v>Alpha</v>
      </c>
      <c r="O61" s="1">
        <f>_xlfn.XLOOKUP(C61,[1]Sheet!$A:$A,[1]Sheet!$F:$F,"Not Found")</f>
        <v>6</v>
      </c>
      <c r="P61" s="1" t="str">
        <f>_xlfn.XLOOKUP(C61,[1]Sheet!$A:$A,[1]Sheet!$G:$G,"Not Found")</f>
        <v>Medium</v>
      </c>
      <c r="Q61" s="32">
        <f>Table1[[#This Row],[Current Stock]]*Table1[[#This Row],[Unit Cost (Currency)]]</f>
        <v>16390</v>
      </c>
    </row>
    <row r="62" spans="1:17" x14ac:dyDescent="0.3">
      <c r="A62" s="13" t="s">
        <v>110</v>
      </c>
      <c r="B62" s="2">
        <v>46213</v>
      </c>
      <c r="C62" s="1" t="s">
        <v>69</v>
      </c>
      <c r="D62" s="1" t="s">
        <v>12</v>
      </c>
      <c r="E62" s="1" t="s">
        <v>37</v>
      </c>
      <c r="F62" s="1">
        <v>28</v>
      </c>
      <c r="G62" s="1">
        <v>59</v>
      </c>
      <c r="H62" s="1">
        <v>152</v>
      </c>
      <c r="I62" s="1">
        <v>28</v>
      </c>
      <c r="J62" s="14" t="s">
        <v>14</v>
      </c>
      <c r="K62" s="1" t="str">
        <f>_xlfn.XLOOKUP(C62,[1]Sheet!$A:$A,[1]Sheet!$B:$B,"Not Found")</f>
        <v>Component 16</v>
      </c>
      <c r="L62" s="1" t="str">
        <f>_xlfn.XLOOKUP(C62,[1]Sheet!$A:$A,[1]Sheet!$C:$C,"Not Found")</f>
        <v>Safety</v>
      </c>
      <c r="M62" s="29">
        <f>_xlfn.XLOOKUP(C62,[1]Sheet!$A:$A,[1]Sheet!$D:$D,"Not Found")</f>
        <v>245</v>
      </c>
      <c r="N62" s="1" t="str">
        <f>_xlfn.XLOOKUP(C62,[1]Sheet!$A:$A,[1]Sheet!$E:$E,"Not Found")</f>
        <v>Central</v>
      </c>
      <c r="O62" s="1">
        <f>_xlfn.XLOOKUP(C62,[1]Sheet!$A:$A,[1]Sheet!$F:$F,"Not Found")</f>
        <v>19</v>
      </c>
      <c r="P62" s="1" t="str">
        <f>_xlfn.XLOOKUP(C62,[1]Sheet!$A:$A,[1]Sheet!$G:$G,"Not Found")</f>
        <v>High</v>
      </c>
      <c r="Q62" s="32">
        <f>Table1[[#This Row],[Current Stock]]*Table1[[#This Row],[Unit Cost (Currency)]]</f>
        <v>37240</v>
      </c>
    </row>
    <row r="63" spans="1:17" x14ac:dyDescent="0.3">
      <c r="A63" s="13" t="s">
        <v>111</v>
      </c>
      <c r="B63" s="2">
        <v>46219</v>
      </c>
      <c r="C63" s="1" t="s">
        <v>112</v>
      </c>
      <c r="D63" s="1" t="s">
        <v>26</v>
      </c>
      <c r="E63" s="1" t="s">
        <v>37</v>
      </c>
      <c r="F63" s="1">
        <v>33</v>
      </c>
      <c r="G63" s="1">
        <v>76</v>
      </c>
      <c r="H63" s="1">
        <v>140</v>
      </c>
      <c r="I63" s="1">
        <v>23</v>
      </c>
      <c r="J63" s="14" t="s">
        <v>19</v>
      </c>
      <c r="K63" s="1" t="str">
        <f>_xlfn.XLOOKUP(C63,[1]Sheet!$A:$A,[1]Sheet!$B:$B,"Not Found")</f>
        <v>Component 27</v>
      </c>
      <c r="L63" s="1" t="str">
        <f>_xlfn.XLOOKUP(C63,[1]Sheet!$A:$A,[1]Sheet!$C:$C,"Not Found")</f>
        <v>Mechanical</v>
      </c>
      <c r="M63" s="29">
        <f>_xlfn.XLOOKUP(C63,[1]Sheet!$A:$A,[1]Sheet!$D:$D,"Not Found")</f>
        <v>348</v>
      </c>
      <c r="N63" s="1" t="str">
        <f>_xlfn.XLOOKUP(C63,[1]Sheet!$A:$A,[1]Sheet!$E:$E,"Not Found")</f>
        <v>Bravo</v>
      </c>
      <c r="O63" s="1">
        <f>_xlfn.XLOOKUP(C63,[1]Sheet!$A:$A,[1]Sheet!$F:$F,"Not Found")</f>
        <v>3</v>
      </c>
      <c r="P63" s="1" t="str">
        <f>_xlfn.XLOOKUP(C63,[1]Sheet!$A:$A,[1]Sheet!$G:$G,"Not Found")</f>
        <v>High</v>
      </c>
      <c r="Q63" s="32">
        <f>Table1[[#This Row],[Current Stock]]*Table1[[#This Row],[Unit Cost (Currency)]]</f>
        <v>48720</v>
      </c>
    </row>
    <row r="64" spans="1:17" x14ac:dyDescent="0.3">
      <c r="A64" s="13" t="s">
        <v>113</v>
      </c>
      <c r="B64" s="2">
        <v>46174</v>
      </c>
      <c r="C64" s="1" t="s">
        <v>57</v>
      </c>
      <c r="D64" s="1" t="s">
        <v>26</v>
      </c>
      <c r="E64" s="1" t="s">
        <v>13</v>
      </c>
      <c r="F64" s="1">
        <v>98</v>
      </c>
      <c r="G64" s="1">
        <v>93</v>
      </c>
      <c r="H64" s="1">
        <v>53</v>
      </c>
      <c r="I64" s="1">
        <v>70</v>
      </c>
      <c r="J64" s="14" t="s">
        <v>19</v>
      </c>
      <c r="K64" s="1" t="str">
        <f>_xlfn.XLOOKUP(C64,[1]Sheet!$A:$A,[1]Sheet!$B:$B,"Not Found")</f>
        <v>Component 11</v>
      </c>
      <c r="L64" s="1" t="str">
        <f>_xlfn.XLOOKUP(C64,[1]Sheet!$A:$A,[1]Sheet!$C:$C,"Not Found")</f>
        <v>Electrical</v>
      </c>
      <c r="M64" s="29">
        <f>_xlfn.XLOOKUP(C64,[1]Sheet!$A:$A,[1]Sheet!$D:$D,"Not Found")</f>
        <v>386</v>
      </c>
      <c r="N64" s="1" t="str">
        <f>_xlfn.XLOOKUP(C64,[1]Sheet!$A:$A,[1]Sheet!$E:$E,"Not Found")</f>
        <v>Central</v>
      </c>
      <c r="O64" s="1">
        <f>_xlfn.XLOOKUP(C64,[1]Sheet!$A:$A,[1]Sheet!$F:$F,"Not Found")</f>
        <v>19</v>
      </c>
      <c r="P64" s="1" t="str">
        <f>_xlfn.XLOOKUP(C64,[1]Sheet!$A:$A,[1]Sheet!$G:$G,"Not Found")</f>
        <v>High</v>
      </c>
      <c r="Q64" s="32">
        <f>Table1[[#This Row],[Current Stock]]*Table1[[#This Row],[Unit Cost (Currency)]]</f>
        <v>20458</v>
      </c>
    </row>
    <row r="65" spans="1:17" x14ac:dyDescent="0.3">
      <c r="A65" s="13" t="s">
        <v>114</v>
      </c>
      <c r="B65" s="2">
        <v>46189</v>
      </c>
      <c r="C65" s="1" t="s">
        <v>55</v>
      </c>
      <c r="D65" s="1" t="s">
        <v>17</v>
      </c>
      <c r="E65" s="1" t="s">
        <v>13</v>
      </c>
      <c r="F65" s="1">
        <v>62</v>
      </c>
      <c r="G65" s="1">
        <v>92</v>
      </c>
      <c r="H65" s="1">
        <v>7</v>
      </c>
      <c r="I65" s="1">
        <v>57</v>
      </c>
      <c r="J65" s="14" t="s">
        <v>14</v>
      </c>
      <c r="K65" s="1" t="str">
        <f>_xlfn.XLOOKUP(C65,[1]Sheet!$A:$A,[1]Sheet!$B:$B,"Not Found")</f>
        <v>Component 14</v>
      </c>
      <c r="L65" s="1" t="str">
        <f>_xlfn.XLOOKUP(C65,[1]Sheet!$A:$A,[1]Sheet!$C:$C,"Not Found")</f>
        <v>Mechanical</v>
      </c>
      <c r="M65" s="29">
        <f>_xlfn.XLOOKUP(C65,[1]Sheet!$A:$A,[1]Sheet!$D:$D,"Not Found")</f>
        <v>270</v>
      </c>
      <c r="N65" s="1" t="str">
        <f>_xlfn.XLOOKUP(C65,[1]Sheet!$A:$A,[1]Sheet!$E:$E,"Not Found")</f>
        <v>Central</v>
      </c>
      <c r="O65" s="1">
        <f>_xlfn.XLOOKUP(C65,[1]Sheet!$A:$A,[1]Sheet!$F:$F,"Not Found")</f>
        <v>4</v>
      </c>
      <c r="P65" s="1" t="str">
        <f>_xlfn.XLOOKUP(C65,[1]Sheet!$A:$A,[1]Sheet!$G:$G,"Not Found")</f>
        <v>Medium</v>
      </c>
      <c r="Q65" s="32">
        <f>Table1[[#This Row],[Current Stock]]*Table1[[#This Row],[Unit Cost (Currency)]]</f>
        <v>1890</v>
      </c>
    </row>
    <row r="66" spans="1:17" x14ac:dyDescent="0.3">
      <c r="A66" s="13" t="s">
        <v>115</v>
      </c>
      <c r="B66" s="2">
        <v>46193</v>
      </c>
      <c r="C66" s="1" t="s">
        <v>73</v>
      </c>
      <c r="D66" s="1" t="s">
        <v>17</v>
      </c>
      <c r="E66" s="1" t="s">
        <v>18</v>
      </c>
      <c r="F66" s="1">
        <v>40</v>
      </c>
      <c r="G66" s="1">
        <v>29</v>
      </c>
      <c r="H66" s="1">
        <v>240</v>
      </c>
      <c r="I66" s="1">
        <v>65</v>
      </c>
      <c r="J66" s="14" t="s">
        <v>14</v>
      </c>
      <c r="K66" s="1" t="str">
        <f>_xlfn.XLOOKUP(C66,[1]Sheet!$A:$A,[1]Sheet!$B:$B,"Not Found")</f>
        <v>Component 8</v>
      </c>
      <c r="L66" s="1" t="str">
        <f>_xlfn.XLOOKUP(C66,[1]Sheet!$A:$A,[1]Sheet!$C:$C,"Not Found")</f>
        <v>Electrical</v>
      </c>
      <c r="M66" s="29">
        <f>_xlfn.XLOOKUP(C66,[1]Sheet!$A:$A,[1]Sheet!$D:$D,"Not Found")</f>
        <v>245</v>
      </c>
      <c r="N66" s="1" t="str">
        <f>_xlfn.XLOOKUP(C66,[1]Sheet!$A:$A,[1]Sheet!$E:$E,"Not Found")</f>
        <v>Delta</v>
      </c>
      <c r="O66" s="1">
        <f>_xlfn.XLOOKUP(C66,[1]Sheet!$A:$A,[1]Sheet!$F:$F,"Not Found")</f>
        <v>5</v>
      </c>
      <c r="P66" s="1" t="str">
        <f>_xlfn.XLOOKUP(C66,[1]Sheet!$A:$A,[1]Sheet!$G:$G,"Not Found")</f>
        <v>Low</v>
      </c>
      <c r="Q66" s="32">
        <f>Table1[[#This Row],[Current Stock]]*Table1[[#This Row],[Unit Cost (Currency)]]</f>
        <v>58800</v>
      </c>
    </row>
    <row r="67" spans="1:17" x14ac:dyDescent="0.3">
      <c r="A67" s="13" t="s">
        <v>116</v>
      </c>
      <c r="B67" s="2">
        <v>46215</v>
      </c>
      <c r="C67" s="1" t="s">
        <v>16</v>
      </c>
      <c r="D67" s="1" t="s">
        <v>17</v>
      </c>
      <c r="E67" s="1" t="s">
        <v>37</v>
      </c>
      <c r="F67" s="1">
        <v>69</v>
      </c>
      <c r="G67" s="1">
        <v>40</v>
      </c>
      <c r="H67" s="1">
        <v>185</v>
      </c>
      <c r="I67" s="1">
        <v>51</v>
      </c>
      <c r="J67" s="14" t="s">
        <v>19</v>
      </c>
      <c r="K67" s="1" t="str">
        <f>_xlfn.XLOOKUP(C67,[1]Sheet!$A:$A,[1]Sheet!$B:$B,"Not Found")</f>
        <v>Component 39</v>
      </c>
      <c r="L67" s="1" t="str">
        <f>_xlfn.XLOOKUP(C67,[1]Sheet!$A:$A,[1]Sheet!$C:$C,"Not Found")</f>
        <v>Electrical</v>
      </c>
      <c r="M67" s="29">
        <f>_xlfn.XLOOKUP(C67,[1]Sheet!$A:$A,[1]Sheet!$D:$D,"Not Found")</f>
        <v>409</v>
      </c>
      <c r="N67" s="1" t="str">
        <f>_xlfn.XLOOKUP(C67,[1]Sheet!$A:$A,[1]Sheet!$E:$E,"Not Found")</f>
        <v>Central</v>
      </c>
      <c r="O67" s="1">
        <f>_xlfn.XLOOKUP(C67,[1]Sheet!$A:$A,[1]Sheet!$F:$F,"Not Found")</f>
        <v>28</v>
      </c>
      <c r="P67" s="1" t="str">
        <f>_xlfn.XLOOKUP(C67,[1]Sheet!$A:$A,[1]Sheet!$G:$G,"Not Found")</f>
        <v>Low</v>
      </c>
      <c r="Q67" s="32">
        <f>Table1[[#This Row],[Current Stock]]*Table1[[#This Row],[Unit Cost (Currency)]]</f>
        <v>75665</v>
      </c>
    </row>
    <row r="68" spans="1:17" x14ac:dyDescent="0.3">
      <c r="A68" s="13" t="s">
        <v>117</v>
      </c>
      <c r="B68" s="2">
        <v>46201</v>
      </c>
      <c r="C68" s="1" t="s">
        <v>75</v>
      </c>
      <c r="D68" s="1" t="s">
        <v>26</v>
      </c>
      <c r="E68" s="1" t="s">
        <v>18</v>
      </c>
      <c r="F68" s="1">
        <v>53</v>
      </c>
      <c r="G68" s="1">
        <v>90</v>
      </c>
      <c r="H68" s="1">
        <v>78</v>
      </c>
      <c r="I68" s="1">
        <v>67</v>
      </c>
      <c r="J68" s="14" t="s">
        <v>14</v>
      </c>
      <c r="K68" s="1" t="str">
        <f>_xlfn.XLOOKUP(C68,[1]Sheet!$A:$A,[1]Sheet!$B:$B,"Not Found")</f>
        <v>Component 1</v>
      </c>
      <c r="L68" s="1" t="str">
        <f>_xlfn.XLOOKUP(C68,[1]Sheet!$A:$A,[1]Sheet!$C:$C,"Not Found")</f>
        <v>Safety</v>
      </c>
      <c r="M68" s="29">
        <f>_xlfn.XLOOKUP(C68,[1]Sheet!$A:$A,[1]Sheet!$D:$D,"Not Found")</f>
        <v>375</v>
      </c>
      <c r="N68" s="1" t="str">
        <f>_xlfn.XLOOKUP(C68,[1]Sheet!$A:$A,[1]Sheet!$E:$E,"Not Found")</f>
        <v>Alpha</v>
      </c>
      <c r="O68" s="1">
        <f>_xlfn.XLOOKUP(C68,[1]Sheet!$A:$A,[1]Sheet!$F:$F,"Not Found")</f>
        <v>19</v>
      </c>
      <c r="P68" s="1" t="str">
        <f>_xlfn.XLOOKUP(C68,[1]Sheet!$A:$A,[1]Sheet!$G:$G,"Not Found")</f>
        <v>Low</v>
      </c>
      <c r="Q68" s="32">
        <f>Table1[[#This Row],[Current Stock]]*Table1[[#This Row],[Unit Cost (Currency)]]</f>
        <v>29250</v>
      </c>
    </row>
    <row r="69" spans="1:17" x14ac:dyDescent="0.3">
      <c r="A69" s="13" t="s">
        <v>118</v>
      </c>
      <c r="B69" s="2">
        <v>46187</v>
      </c>
      <c r="C69" s="1" t="s">
        <v>71</v>
      </c>
      <c r="D69" s="1" t="s">
        <v>26</v>
      </c>
      <c r="E69" s="1" t="s">
        <v>37</v>
      </c>
      <c r="F69" s="1">
        <v>44</v>
      </c>
      <c r="G69" s="1">
        <v>38</v>
      </c>
      <c r="H69" s="1">
        <v>219</v>
      </c>
      <c r="I69" s="1">
        <v>79</v>
      </c>
      <c r="J69" s="14" t="s">
        <v>14</v>
      </c>
      <c r="K69" s="1" t="str">
        <f>_xlfn.XLOOKUP(C69,[1]Sheet!$A:$A,[1]Sheet!$B:$B,"Not Found")</f>
        <v>Component 23</v>
      </c>
      <c r="L69" s="1" t="str">
        <f>_xlfn.XLOOKUP(C69,[1]Sheet!$A:$A,[1]Sheet!$C:$C,"Not Found")</f>
        <v>Electrical</v>
      </c>
      <c r="M69" s="29">
        <f>_xlfn.XLOOKUP(C69,[1]Sheet!$A:$A,[1]Sheet!$D:$D,"Not Found")</f>
        <v>348</v>
      </c>
      <c r="N69" s="1" t="str">
        <f>_xlfn.XLOOKUP(C69,[1]Sheet!$A:$A,[1]Sheet!$E:$E,"Not Found")</f>
        <v>Central</v>
      </c>
      <c r="O69" s="1">
        <f>_xlfn.XLOOKUP(C69,[1]Sheet!$A:$A,[1]Sheet!$F:$F,"Not Found")</f>
        <v>28</v>
      </c>
      <c r="P69" s="1" t="str">
        <f>_xlfn.XLOOKUP(C69,[1]Sheet!$A:$A,[1]Sheet!$G:$G,"Not Found")</f>
        <v>Low</v>
      </c>
      <c r="Q69" s="32">
        <f>Table1[[#This Row],[Current Stock]]*Table1[[#This Row],[Unit Cost (Currency)]]</f>
        <v>76212</v>
      </c>
    </row>
    <row r="70" spans="1:17" x14ac:dyDescent="0.3">
      <c r="A70" s="13" t="s">
        <v>119</v>
      </c>
      <c r="B70" s="2">
        <v>46189</v>
      </c>
      <c r="C70" s="1" t="s">
        <v>81</v>
      </c>
      <c r="D70" s="1" t="s">
        <v>26</v>
      </c>
      <c r="E70" s="1" t="s">
        <v>13</v>
      </c>
      <c r="F70" s="1">
        <v>68</v>
      </c>
      <c r="G70" s="1">
        <v>75</v>
      </c>
      <c r="H70" s="1">
        <v>9</v>
      </c>
      <c r="I70" s="1">
        <v>25</v>
      </c>
      <c r="J70" s="14" t="s">
        <v>14</v>
      </c>
      <c r="K70" s="1" t="str">
        <f>_xlfn.XLOOKUP(C70,[1]Sheet!$A:$A,[1]Sheet!$B:$B,"Not Found")</f>
        <v>Component 17</v>
      </c>
      <c r="L70" s="1" t="str">
        <f>_xlfn.XLOOKUP(C70,[1]Sheet!$A:$A,[1]Sheet!$C:$C,"Not Found")</f>
        <v>Safety</v>
      </c>
      <c r="M70" s="29">
        <f>_xlfn.XLOOKUP(C70,[1]Sheet!$A:$A,[1]Sheet!$D:$D,"Not Found")</f>
        <v>285</v>
      </c>
      <c r="N70" s="1" t="str">
        <f>_xlfn.XLOOKUP(C70,[1]Sheet!$A:$A,[1]Sheet!$E:$E,"Not Found")</f>
        <v>Delta</v>
      </c>
      <c r="O70" s="1">
        <f>_xlfn.XLOOKUP(C70,[1]Sheet!$A:$A,[1]Sheet!$F:$F,"Not Found")</f>
        <v>27</v>
      </c>
      <c r="P70" s="1" t="str">
        <f>_xlfn.XLOOKUP(C70,[1]Sheet!$A:$A,[1]Sheet!$G:$G,"Not Found")</f>
        <v>Low</v>
      </c>
      <c r="Q70" s="32">
        <f>Table1[[#This Row],[Current Stock]]*Table1[[#This Row],[Unit Cost (Currency)]]</f>
        <v>2565</v>
      </c>
    </row>
    <row r="71" spans="1:17" x14ac:dyDescent="0.3">
      <c r="A71" s="13" t="s">
        <v>120</v>
      </c>
      <c r="B71" s="2">
        <v>46176</v>
      </c>
      <c r="C71" s="1" t="s">
        <v>109</v>
      </c>
      <c r="D71" s="1" t="s">
        <v>17</v>
      </c>
      <c r="E71" s="1" t="s">
        <v>13</v>
      </c>
      <c r="F71" s="1">
        <v>88</v>
      </c>
      <c r="G71" s="1">
        <v>100</v>
      </c>
      <c r="H71" s="1">
        <v>120</v>
      </c>
      <c r="I71" s="1">
        <v>73</v>
      </c>
      <c r="J71" s="14" t="s">
        <v>19</v>
      </c>
      <c r="K71" s="1" t="str">
        <f>_xlfn.XLOOKUP(C71,[1]Sheet!$A:$A,[1]Sheet!$B:$B,"Not Found")</f>
        <v>Component 35</v>
      </c>
      <c r="L71" s="1" t="str">
        <f>_xlfn.XLOOKUP(C71,[1]Sheet!$A:$A,[1]Sheet!$C:$C,"Not Found")</f>
        <v>Safety</v>
      </c>
      <c r="M71" s="29">
        <f>_xlfn.XLOOKUP(C71,[1]Sheet!$A:$A,[1]Sheet!$D:$D,"Not Found")</f>
        <v>298</v>
      </c>
      <c r="N71" s="1" t="str">
        <f>_xlfn.XLOOKUP(C71,[1]Sheet!$A:$A,[1]Sheet!$E:$E,"Not Found")</f>
        <v>Alpha</v>
      </c>
      <c r="O71" s="1">
        <f>_xlfn.XLOOKUP(C71,[1]Sheet!$A:$A,[1]Sheet!$F:$F,"Not Found")</f>
        <v>6</v>
      </c>
      <c r="P71" s="1" t="str">
        <f>_xlfn.XLOOKUP(C71,[1]Sheet!$A:$A,[1]Sheet!$G:$G,"Not Found")</f>
        <v>Medium</v>
      </c>
      <c r="Q71" s="32">
        <f>Table1[[#This Row],[Current Stock]]*Table1[[#This Row],[Unit Cost (Currency)]]</f>
        <v>35760</v>
      </c>
    </row>
    <row r="72" spans="1:17" x14ac:dyDescent="0.3">
      <c r="A72" s="13" t="s">
        <v>121</v>
      </c>
      <c r="B72" s="2">
        <v>46199</v>
      </c>
      <c r="C72" s="1" t="s">
        <v>122</v>
      </c>
      <c r="D72" s="1" t="s">
        <v>17</v>
      </c>
      <c r="E72" s="1" t="s">
        <v>37</v>
      </c>
      <c r="F72" s="1">
        <v>28</v>
      </c>
      <c r="G72" s="1">
        <v>82</v>
      </c>
      <c r="H72" s="1">
        <v>96</v>
      </c>
      <c r="I72" s="1">
        <v>74</v>
      </c>
      <c r="J72" s="14" t="s">
        <v>19</v>
      </c>
      <c r="K72" s="1" t="str">
        <f>_xlfn.XLOOKUP(C72,[1]Sheet!$A:$A,[1]Sheet!$B:$B,"Not Found")</f>
        <v>Component 36</v>
      </c>
      <c r="L72" s="1" t="str">
        <f>_xlfn.XLOOKUP(C72,[1]Sheet!$A:$A,[1]Sheet!$C:$C,"Not Found")</f>
        <v>Packaging</v>
      </c>
      <c r="M72" s="29">
        <f>_xlfn.XLOOKUP(C72,[1]Sheet!$A:$A,[1]Sheet!$D:$D,"Not Found")</f>
        <v>184</v>
      </c>
      <c r="N72" s="1" t="str">
        <f>_xlfn.XLOOKUP(C72,[1]Sheet!$A:$A,[1]Sheet!$E:$E,"Not Found")</f>
        <v>Central</v>
      </c>
      <c r="O72" s="1">
        <f>_xlfn.XLOOKUP(C72,[1]Sheet!$A:$A,[1]Sheet!$F:$F,"Not Found")</f>
        <v>15</v>
      </c>
      <c r="P72" s="1" t="str">
        <f>_xlfn.XLOOKUP(C72,[1]Sheet!$A:$A,[1]Sheet!$G:$G,"Not Found")</f>
        <v>Medium</v>
      </c>
      <c r="Q72" s="32">
        <f>Table1[[#This Row],[Current Stock]]*Table1[[#This Row],[Unit Cost (Currency)]]</f>
        <v>17664</v>
      </c>
    </row>
    <row r="73" spans="1:17" x14ac:dyDescent="0.3">
      <c r="A73" s="13" t="s">
        <v>123</v>
      </c>
      <c r="B73" s="2">
        <v>46216</v>
      </c>
      <c r="C73" s="1" t="s">
        <v>25</v>
      </c>
      <c r="D73" s="1" t="s">
        <v>12</v>
      </c>
      <c r="E73" s="1" t="s">
        <v>37</v>
      </c>
      <c r="F73" s="1">
        <v>113</v>
      </c>
      <c r="G73" s="1">
        <v>51</v>
      </c>
      <c r="H73" s="1">
        <v>213</v>
      </c>
      <c r="I73" s="1">
        <v>71</v>
      </c>
      <c r="J73" s="14" t="s">
        <v>14</v>
      </c>
      <c r="K73" s="1" t="str">
        <f>_xlfn.XLOOKUP(C73,[1]Sheet!$A:$A,[1]Sheet!$B:$B,"Not Found")</f>
        <v>Component 40</v>
      </c>
      <c r="L73" s="1" t="str">
        <f>_xlfn.XLOOKUP(C73,[1]Sheet!$A:$A,[1]Sheet!$C:$C,"Not Found")</f>
        <v>Mechanical</v>
      </c>
      <c r="M73" s="29">
        <f>_xlfn.XLOOKUP(C73,[1]Sheet!$A:$A,[1]Sheet!$D:$D,"Not Found")</f>
        <v>180</v>
      </c>
      <c r="N73" s="1" t="str">
        <f>_xlfn.XLOOKUP(C73,[1]Sheet!$A:$A,[1]Sheet!$E:$E,"Not Found")</f>
        <v>Central</v>
      </c>
      <c r="O73" s="1">
        <f>_xlfn.XLOOKUP(C73,[1]Sheet!$A:$A,[1]Sheet!$F:$F,"Not Found")</f>
        <v>19</v>
      </c>
      <c r="P73" s="1" t="str">
        <f>_xlfn.XLOOKUP(C73,[1]Sheet!$A:$A,[1]Sheet!$G:$G,"Not Found")</f>
        <v>Medium</v>
      </c>
      <c r="Q73" s="32">
        <f>Table1[[#This Row],[Current Stock]]*Table1[[#This Row],[Unit Cost (Currency)]]</f>
        <v>38340</v>
      </c>
    </row>
    <row r="74" spans="1:17" x14ac:dyDescent="0.3">
      <c r="A74" s="13" t="s">
        <v>124</v>
      </c>
      <c r="B74" s="2">
        <v>46209</v>
      </c>
      <c r="C74" s="1" t="s">
        <v>44</v>
      </c>
      <c r="D74" s="1" t="s">
        <v>17</v>
      </c>
      <c r="E74" s="1" t="s">
        <v>37</v>
      </c>
      <c r="F74" s="1">
        <v>4</v>
      </c>
      <c r="G74" s="1">
        <v>30</v>
      </c>
      <c r="H74" s="1">
        <v>114</v>
      </c>
      <c r="I74" s="1">
        <v>55</v>
      </c>
      <c r="J74" s="14" t="s">
        <v>14</v>
      </c>
      <c r="K74" s="1" t="str">
        <f>_xlfn.XLOOKUP(C74,[1]Sheet!$A:$A,[1]Sheet!$B:$B,"Not Found")</f>
        <v>Component 9</v>
      </c>
      <c r="L74" s="1" t="str">
        <f>_xlfn.XLOOKUP(C74,[1]Sheet!$A:$A,[1]Sheet!$C:$C,"Not Found")</f>
        <v>Mechanical</v>
      </c>
      <c r="M74" s="29">
        <f>_xlfn.XLOOKUP(C74,[1]Sheet!$A:$A,[1]Sheet!$D:$D,"Not Found")</f>
        <v>209</v>
      </c>
      <c r="N74" s="1" t="str">
        <f>_xlfn.XLOOKUP(C74,[1]Sheet!$A:$A,[1]Sheet!$E:$E,"Not Found")</f>
        <v>Bravo</v>
      </c>
      <c r="O74" s="1">
        <f>_xlfn.XLOOKUP(C74,[1]Sheet!$A:$A,[1]Sheet!$F:$F,"Not Found")</f>
        <v>10</v>
      </c>
      <c r="P74" s="1" t="str">
        <f>_xlfn.XLOOKUP(C74,[1]Sheet!$A:$A,[1]Sheet!$G:$G,"Not Found")</f>
        <v>Low</v>
      </c>
      <c r="Q74" s="32">
        <f>Table1[[#This Row],[Current Stock]]*Table1[[#This Row],[Unit Cost (Currency)]]</f>
        <v>23826</v>
      </c>
    </row>
    <row r="75" spans="1:17" x14ac:dyDescent="0.3">
      <c r="A75" s="13" t="s">
        <v>125</v>
      </c>
      <c r="B75" s="2">
        <v>46175</v>
      </c>
      <c r="C75" s="1" t="s">
        <v>35</v>
      </c>
      <c r="D75" s="1" t="s">
        <v>26</v>
      </c>
      <c r="E75" s="1" t="s">
        <v>13</v>
      </c>
      <c r="F75" s="1">
        <v>56</v>
      </c>
      <c r="G75" s="1">
        <v>2</v>
      </c>
      <c r="H75" s="1">
        <v>224</v>
      </c>
      <c r="I75" s="1">
        <v>31</v>
      </c>
      <c r="J75" s="14" t="s">
        <v>14</v>
      </c>
      <c r="K75" s="1" t="str">
        <f>_xlfn.XLOOKUP(C75,[1]Sheet!$A:$A,[1]Sheet!$B:$B,"Not Found")</f>
        <v>Component 12</v>
      </c>
      <c r="L75" s="1" t="str">
        <f>_xlfn.XLOOKUP(C75,[1]Sheet!$A:$A,[1]Sheet!$C:$C,"Not Found")</f>
        <v>Packaging</v>
      </c>
      <c r="M75" s="29">
        <f>_xlfn.XLOOKUP(C75,[1]Sheet!$A:$A,[1]Sheet!$D:$D,"Not Found")</f>
        <v>365</v>
      </c>
      <c r="N75" s="1" t="str">
        <f>_xlfn.XLOOKUP(C75,[1]Sheet!$A:$A,[1]Sheet!$E:$E,"Not Found")</f>
        <v>Delta</v>
      </c>
      <c r="O75" s="1">
        <f>_xlfn.XLOOKUP(C75,[1]Sheet!$A:$A,[1]Sheet!$F:$F,"Not Found")</f>
        <v>6</v>
      </c>
      <c r="P75" s="1" t="str">
        <f>_xlfn.XLOOKUP(C75,[1]Sheet!$A:$A,[1]Sheet!$G:$G,"Not Found")</f>
        <v>Low</v>
      </c>
      <c r="Q75" s="32">
        <f>Table1[[#This Row],[Current Stock]]*Table1[[#This Row],[Unit Cost (Currency)]]</f>
        <v>81760</v>
      </c>
    </row>
    <row r="76" spans="1:17" x14ac:dyDescent="0.3">
      <c r="A76" s="13" t="s">
        <v>126</v>
      </c>
      <c r="B76" s="2">
        <v>46197</v>
      </c>
      <c r="C76" s="1" t="s">
        <v>86</v>
      </c>
      <c r="D76" s="1" t="s">
        <v>17</v>
      </c>
      <c r="E76" s="1" t="s">
        <v>18</v>
      </c>
      <c r="F76" s="1">
        <v>99</v>
      </c>
      <c r="G76" s="1">
        <v>47</v>
      </c>
      <c r="H76" s="1">
        <v>143</v>
      </c>
      <c r="I76" s="1">
        <v>44</v>
      </c>
      <c r="J76" s="14" t="s">
        <v>14</v>
      </c>
      <c r="K76" s="1" t="str">
        <f>_xlfn.XLOOKUP(C76,[1]Sheet!$A:$A,[1]Sheet!$B:$B,"Not Found")</f>
        <v>Component 33</v>
      </c>
      <c r="L76" s="1" t="str">
        <f>_xlfn.XLOOKUP(C76,[1]Sheet!$A:$A,[1]Sheet!$C:$C,"Not Found")</f>
        <v>Packaging</v>
      </c>
      <c r="M76" s="29">
        <f>_xlfn.XLOOKUP(C76,[1]Sheet!$A:$A,[1]Sheet!$D:$D,"Not Found")</f>
        <v>293</v>
      </c>
      <c r="N76" s="1" t="str">
        <f>_xlfn.XLOOKUP(C76,[1]Sheet!$A:$A,[1]Sheet!$E:$E,"Not Found")</f>
        <v>Delta</v>
      </c>
      <c r="O76" s="1">
        <f>_xlfn.XLOOKUP(C76,[1]Sheet!$A:$A,[1]Sheet!$F:$F,"Not Found")</f>
        <v>15</v>
      </c>
      <c r="P76" s="1" t="str">
        <f>_xlfn.XLOOKUP(C76,[1]Sheet!$A:$A,[1]Sheet!$G:$G,"Not Found")</f>
        <v>Low</v>
      </c>
      <c r="Q76" s="32">
        <f>Table1[[#This Row],[Current Stock]]*Table1[[#This Row],[Unit Cost (Currency)]]</f>
        <v>41899</v>
      </c>
    </row>
    <row r="77" spans="1:17" x14ac:dyDescent="0.3">
      <c r="A77" s="13" t="s">
        <v>127</v>
      </c>
      <c r="B77" s="2">
        <v>46203</v>
      </c>
      <c r="C77" s="1" t="s">
        <v>69</v>
      </c>
      <c r="D77" s="1" t="s">
        <v>26</v>
      </c>
      <c r="E77" s="1" t="s">
        <v>13</v>
      </c>
      <c r="F77" s="1">
        <v>38</v>
      </c>
      <c r="G77" s="1">
        <v>36</v>
      </c>
      <c r="H77" s="1">
        <v>64</v>
      </c>
      <c r="I77" s="1">
        <v>24</v>
      </c>
      <c r="J77" s="14" t="s">
        <v>19</v>
      </c>
      <c r="K77" s="1" t="str">
        <f>_xlfn.XLOOKUP(C77,[1]Sheet!$A:$A,[1]Sheet!$B:$B,"Not Found")</f>
        <v>Component 16</v>
      </c>
      <c r="L77" s="1" t="str">
        <f>_xlfn.XLOOKUP(C77,[1]Sheet!$A:$A,[1]Sheet!$C:$C,"Not Found")</f>
        <v>Safety</v>
      </c>
      <c r="M77" s="29">
        <f>_xlfn.XLOOKUP(C77,[1]Sheet!$A:$A,[1]Sheet!$D:$D,"Not Found")</f>
        <v>245</v>
      </c>
      <c r="N77" s="1" t="str">
        <f>_xlfn.XLOOKUP(C77,[1]Sheet!$A:$A,[1]Sheet!$E:$E,"Not Found")</f>
        <v>Central</v>
      </c>
      <c r="O77" s="1">
        <f>_xlfn.XLOOKUP(C77,[1]Sheet!$A:$A,[1]Sheet!$F:$F,"Not Found")</f>
        <v>19</v>
      </c>
      <c r="P77" s="1" t="str">
        <f>_xlfn.XLOOKUP(C77,[1]Sheet!$A:$A,[1]Sheet!$G:$G,"Not Found")</f>
        <v>High</v>
      </c>
      <c r="Q77" s="32">
        <f>Table1[[#This Row],[Current Stock]]*Table1[[#This Row],[Unit Cost (Currency)]]</f>
        <v>15680</v>
      </c>
    </row>
    <row r="78" spans="1:17" x14ac:dyDescent="0.3">
      <c r="A78" s="13" t="s">
        <v>128</v>
      </c>
      <c r="B78" s="2">
        <v>46180</v>
      </c>
      <c r="C78" s="1" t="s">
        <v>107</v>
      </c>
      <c r="D78" s="1" t="s">
        <v>12</v>
      </c>
      <c r="E78" s="1" t="s">
        <v>18</v>
      </c>
      <c r="F78" s="1">
        <v>30</v>
      </c>
      <c r="G78" s="1">
        <v>32</v>
      </c>
      <c r="H78" s="1">
        <v>67</v>
      </c>
      <c r="I78" s="1">
        <v>26</v>
      </c>
      <c r="J78" s="14" t="s">
        <v>14</v>
      </c>
      <c r="K78" s="1" t="str">
        <f>_xlfn.XLOOKUP(C78,[1]Sheet!$A:$A,[1]Sheet!$B:$B,"Not Found")</f>
        <v>Component 13</v>
      </c>
      <c r="L78" s="1" t="str">
        <f>_xlfn.XLOOKUP(C78,[1]Sheet!$A:$A,[1]Sheet!$C:$C,"Not Found")</f>
        <v>Packaging</v>
      </c>
      <c r="M78" s="29">
        <f>_xlfn.XLOOKUP(C78,[1]Sheet!$A:$A,[1]Sheet!$D:$D,"Not Found")</f>
        <v>494</v>
      </c>
      <c r="N78" s="1" t="str">
        <f>_xlfn.XLOOKUP(C78,[1]Sheet!$A:$A,[1]Sheet!$E:$E,"Not Found")</f>
        <v>Bravo</v>
      </c>
      <c r="O78" s="1">
        <f>_xlfn.XLOOKUP(C78,[1]Sheet!$A:$A,[1]Sheet!$F:$F,"Not Found")</f>
        <v>27</v>
      </c>
      <c r="P78" s="1" t="str">
        <f>_xlfn.XLOOKUP(C78,[1]Sheet!$A:$A,[1]Sheet!$G:$G,"Not Found")</f>
        <v>Low</v>
      </c>
      <c r="Q78" s="32">
        <f>Table1[[#This Row],[Current Stock]]*Table1[[#This Row],[Unit Cost (Currency)]]</f>
        <v>33098</v>
      </c>
    </row>
    <row r="79" spans="1:17" x14ac:dyDescent="0.3">
      <c r="A79" s="13" t="s">
        <v>129</v>
      </c>
      <c r="B79" s="2">
        <v>46181</v>
      </c>
      <c r="C79" s="1" t="s">
        <v>90</v>
      </c>
      <c r="D79" s="1" t="s">
        <v>17</v>
      </c>
      <c r="E79" s="1" t="s">
        <v>18</v>
      </c>
      <c r="F79" s="1">
        <v>50</v>
      </c>
      <c r="G79" s="1">
        <v>57</v>
      </c>
      <c r="H79" s="1">
        <v>172</v>
      </c>
      <c r="I79" s="1">
        <v>41</v>
      </c>
      <c r="J79" s="14" t="s">
        <v>14</v>
      </c>
      <c r="K79" s="1" t="str">
        <f>_xlfn.XLOOKUP(C79,[1]Sheet!$A:$A,[1]Sheet!$B:$B,"Not Found")</f>
        <v>Component 22</v>
      </c>
      <c r="L79" s="1" t="str">
        <f>_xlfn.XLOOKUP(C79,[1]Sheet!$A:$A,[1]Sheet!$C:$C,"Not Found")</f>
        <v>Packaging</v>
      </c>
      <c r="M79" s="29">
        <f>_xlfn.XLOOKUP(C79,[1]Sheet!$A:$A,[1]Sheet!$D:$D,"Not Found")</f>
        <v>421</v>
      </c>
      <c r="N79" s="1" t="str">
        <f>_xlfn.XLOOKUP(C79,[1]Sheet!$A:$A,[1]Sheet!$E:$E,"Not Found")</f>
        <v>Bravo</v>
      </c>
      <c r="O79" s="1">
        <f>_xlfn.XLOOKUP(C79,[1]Sheet!$A:$A,[1]Sheet!$F:$F,"Not Found")</f>
        <v>12</v>
      </c>
      <c r="P79" s="1" t="str">
        <f>_xlfn.XLOOKUP(C79,[1]Sheet!$A:$A,[1]Sheet!$G:$G,"Not Found")</f>
        <v>Medium</v>
      </c>
      <c r="Q79" s="32">
        <f>Table1[[#This Row],[Current Stock]]*Table1[[#This Row],[Unit Cost (Currency)]]</f>
        <v>72412</v>
      </c>
    </row>
    <row r="80" spans="1:17" x14ac:dyDescent="0.3">
      <c r="A80" s="13" t="s">
        <v>130</v>
      </c>
      <c r="B80" s="2">
        <v>46187</v>
      </c>
      <c r="C80" s="1" t="s">
        <v>83</v>
      </c>
      <c r="D80" s="1" t="s">
        <v>17</v>
      </c>
      <c r="E80" s="1" t="s">
        <v>13</v>
      </c>
      <c r="F80" s="1">
        <v>106</v>
      </c>
      <c r="G80" s="1">
        <v>63</v>
      </c>
      <c r="H80" s="1">
        <v>182</v>
      </c>
      <c r="I80" s="1">
        <v>69</v>
      </c>
      <c r="J80" s="14" t="s">
        <v>14</v>
      </c>
      <c r="K80" s="1" t="str">
        <f>_xlfn.XLOOKUP(C80,[1]Sheet!$A:$A,[1]Sheet!$B:$B,"Not Found")</f>
        <v>Component 7</v>
      </c>
      <c r="L80" s="1" t="str">
        <f>_xlfn.XLOOKUP(C80,[1]Sheet!$A:$A,[1]Sheet!$C:$C,"Not Found")</f>
        <v>Electrical</v>
      </c>
      <c r="M80" s="29">
        <f>_xlfn.XLOOKUP(C80,[1]Sheet!$A:$A,[1]Sheet!$D:$D,"Not Found")</f>
        <v>374</v>
      </c>
      <c r="N80" s="1" t="str">
        <f>_xlfn.XLOOKUP(C80,[1]Sheet!$A:$A,[1]Sheet!$E:$E,"Not Found")</f>
        <v>Bravo</v>
      </c>
      <c r="O80" s="1">
        <f>_xlfn.XLOOKUP(C80,[1]Sheet!$A:$A,[1]Sheet!$F:$F,"Not Found")</f>
        <v>5</v>
      </c>
      <c r="P80" s="1" t="str">
        <f>_xlfn.XLOOKUP(C80,[1]Sheet!$A:$A,[1]Sheet!$G:$G,"Not Found")</f>
        <v>Low</v>
      </c>
      <c r="Q80" s="32">
        <f>Table1[[#This Row],[Current Stock]]*Table1[[#This Row],[Unit Cost (Currency)]]</f>
        <v>68068</v>
      </c>
    </row>
    <row r="81" spans="1:33" x14ac:dyDescent="0.3">
      <c r="A81" s="13" t="s">
        <v>131</v>
      </c>
      <c r="B81" s="2">
        <v>46204</v>
      </c>
      <c r="C81" s="1" t="s">
        <v>90</v>
      </c>
      <c r="D81" s="1" t="s">
        <v>12</v>
      </c>
      <c r="E81" s="1" t="s">
        <v>18</v>
      </c>
      <c r="F81" s="1">
        <v>84</v>
      </c>
      <c r="G81" s="1">
        <v>99</v>
      </c>
      <c r="H81" s="1">
        <v>64</v>
      </c>
      <c r="I81" s="1">
        <v>43</v>
      </c>
      <c r="J81" s="14" t="s">
        <v>19</v>
      </c>
      <c r="K81" s="1" t="str">
        <f>_xlfn.XLOOKUP(C81,[1]Sheet!$A:$A,[1]Sheet!$B:$B,"Not Found")</f>
        <v>Component 22</v>
      </c>
      <c r="L81" s="1" t="str">
        <f>_xlfn.XLOOKUP(C81,[1]Sheet!$A:$A,[1]Sheet!$C:$C,"Not Found")</f>
        <v>Packaging</v>
      </c>
      <c r="M81" s="29">
        <f>_xlfn.XLOOKUP(C81,[1]Sheet!$A:$A,[1]Sheet!$D:$D,"Not Found")</f>
        <v>421</v>
      </c>
      <c r="N81" s="1" t="str">
        <f>_xlfn.XLOOKUP(C81,[1]Sheet!$A:$A,[1]Sheet!$E:$E,"Not Found")</f>
        <v>Bravo</v>
      </c>
      <c r="O81" s="1">
        <f>_xlfn.XLOOKUP(C81,[1]Sheet!$A:$A,[1]Sheet!$F:$F,"Not Found")</f>
        <v>12</v>
      </c>
      <c r="P81" s="1" t="str">
        <f>_xlfn.XLOOKUP(C81,[1]Sheet!$A:$A,[1]Sheet!$G:$G,"Not Found")</f>
        <v>Medium</v>
      </c>
      <c r="Q81" s="32">
        <f>Table1[[#This Row],[Current Stock]]*Table1[[#This Row],[Unit Cost (Currency)]]</f>
        <v>26944</v>
      </c>
    </row>
    <row r="82" spans="1:33" x14ac:dyDescent="0.3">
      <c r="A82" s="13" t="s">
        <v>132</v>
      </c>
      <c r="B82" s="2">
        <v>46213</v>
      </c>
      <c r="C82" s="1" t="s">
        <v>47</v>
      </c>
      <c r="D82" s="1" t="s">
        <v>17</v>
      </c>
      <c r="E82" s="1" t="s">
        <v>18</v>
      </c>
      <c r="F82" s="1">
        <v>31</v>
      </c>
      <c r="G82" s="1">
        <v>50</v>
      </c>
      <c r="H82" s="1">
        <v>129</v>
      </c>
      <c r="I82" s="1">
        <v>66</v>
      </c>
      <c r="J82" s="14" t="s">
        <v>19</v>
      </c>
      <c r="K82" s="1" t="str">
        <f>_xlfn.XLOOKUP(C82,[1]Sheet!$A:$A,[1]Sheet!$B:$B,"Not Found")</f>
        <v>Component 6</v>
      </c>
      <c r="L82" s="1" t="str">
        <f>_xlfn.XLOOKUP(C82,[1]Sheet!$A:$A,[1]Sheet!$C:$C,"Not Found")</f>
        <v>Electrical</v>
      </c>
      <c r="M82" s="29">
        <f>_xlfn.XLOOKUP(C82,[1]Sheet!$A:$A,[1]Sheet!$D:$D,"Not Found")</f>
        <v>156</v>
      </c>
      <c r="N82" s="1" t="str">
        <f>_xlfn.XLOOKUP(C82,[1]Sheet!$A:$A,[1]Sheet!$E:$E,"Not Found")</f>
        <v>Central</v>
      </c>
      <c r="O82" s="1">
        <f>_xlfn.XLOOKUP(C82,[1]Sheet!$A:$A,[1]Sheet!$F:$F,"Not Found")</f>
        <v>8</v>
      </c>
      <c r="P82" s="1" t="str">
        <f>_xlfn.XLOOKUP(C82,[1]Sheet!$A:$A,[1]Sheet!$G:$G,"Not Found")</f>
        <v>High</v>
      </c>
      <c r="Q82" s="32">
        <f>Table1[[#This Row],[Current Stock]]*Table1[[#This Row],[Unit Cost (Currency)]]</f>
        <v>20124</v>
      </c>
    </row>
    <row r="83" spans="1:33" x14ac:dyDescent="0.3">
      <c r="A83" s="13" t="s">
        <v>133</v>
      </c>
      <c r="B83" s="2">
        <v>46192</v>
      </c>
      <c r="C83" s="1" t="s">
        <v>44</v>
      </c>
      <c r="D83" s="1" t="s">
        <v>17</v>
      </c>
      <c r="E83" s="1" t="s">
        <v>18</v>
      </c>
      <c r="F83" s="1">
        <v>4</v>
      </c>
      <c r="G83" s="1">
        <v>8</v>
      </c>
      <c r="H83" s="1">
        <v>218</v>
      </c>
      <c r="I83" s="1">
        <v>40</v>
      </c>
      <c r="J83" s="14" t="s">
        <v>14</v>
      </c>
      <c r="K83" s="1" t="str">
        <f>_xlfn.XLOOKUP(C83,[1]Sheet!$A:$A,[1]Sheet!$B:$B,"Not Found")</f>
        <v>Component 9</v>
      </c>
      <c r="L83" s="1" t="str">
        <f>_xlfn.XLOOKUP(C83,[1]Sheet!$A:$A,[1]Sheet!$C:$C,"Not Found")</f>
        <v>Mechanical</v>
      </c>
      <c r="M83" s="29">
        <f>_xlfn.XLOOKUP(C83,[1]Sheet!$A:$A,[1]Sheet!$D:$D,"Not Found")</f>
        <v>209</v>
      </c>
      <c r="N83" s="1" t="str">
        <f>_xlfn.XLOOKUP(C83,[1]Sheet!$A:$A,[1]Sheet!$E:$E,"Not Found")</f>
        <v>Bravo</v>
      </c>
      <c r="O83" s="1">
        <f>_xlfn.XLOOKUP(C83,[1]Sheet!$A:$A,[1]Sheet!$F:$F,"Not Found")</f>
        <v>10</v>
      </c>
      <c r="P83" s="1" t="str">
        <f>_xlfn.XLOOKUP(C83,[1]Sheet!$A:$A,[1]Sheet!$G:$G,"Not Found")</f>
        <v>Low</v>
      </c>
      <c r="Q83" s="32">
        <f>Table1[[#This Row],[Current Stock]]*Table1[[#This Row],[Unit Cost (Currency)]]</f>
        <v>45562</v>
      </c>
    </row>
    <row r="84" spans="1:33" x14ac:dyDescent="0.3">
      <c r="A84" s="13" t="s">
        <v>134</v>
      </c>
      <c r="B84" s="2">
        <v>46210</v>
      </c>
      <c r="C84" s="1" t="s">
        <v>71</v>
      </c>
      <c r="D84" s="1" t="s">
        <v>17</v>
      </c>
      <c r="E84" s="1" t="s">
        <v>18</v>
      </c>
      <c r="F84" s="1">
        <v>47</v>
      </c>
      <c r="G84" s="1">
        <v>82</v>
      </c>
      <c r="H84" s="1">
        <v>215</v>
      </c>
      <c r="I84" s="1">
        <v>75</v>
      </c>
      <c r="J84" s="14" t="s">
        <v>14</v>
      </c>
      <c r="K84" s="1" t="str">
        <f>_xlfn.XLOOKUP(C84,[1]Sheet!$A:$A,[1]Sheet!$B:$B,"Not Found")</f>
        <v>Component 23</v>
      </c>
      <c r="L84" s="1" t="str">
        <f>_xlfn.XLOOKUP(C84,[1]Sheet!$A:$A,[1]Sheet!$C:$C,"Not Found")</f>
        <v>Electrical</v>
      </c>
      <c r="M84" s="29">
        <f>_xlfn.XLOOKUP(C84,[1]Sheet!$A:$A,[1]Sheet!$D:$D,"Not Found")</f>
        <v>348</v>
      </c>
      <c r="N84" s="1" t="str">
        <f>_xlfn.XLOOKUP(C84,[1]Sheet!$A:$A,[1]Sheet!$E:$E,"Not Found")</f>
        <v>Central</v>
      </c>
      <c r="O84" s="1">
        <f>_xlfn.XLOOKUP(C84,[1]Sheet!$A:$A,[1]Sheet!$F:$F,"Not Found")</f>
        <v>28</v>
      </c>
      <c r="P84" s="1" t="str">
        <f>_xlfn.XLOOKUP(C84,[1]Sheet!$A:$A,[1]Sheet!$G:$G,"Not Found")</f>
        <v>Low</v>
      </c>
      <c r="Q84" s="32">
        <f>Table1[[#This Row],[Current Stock]]*Table1[[#This Row],[Unit Cost (Currency)]]</f>
        <v>74820</v>
      </c>
    </row>
    <row r="85" spans="1:33" x14ac:dyDescent="0.3">
      <c r="A85" s="13" t="s">
        <v>135</v>
      </c>
      <c r="B85" s="2">
        <v>46179</v>
      </c>
      <c r="C85" s="1" t="s">
        <v>28</v>
      </c>
      <c r="D85" s="1" t="s">
        <v>12</v>
      </c>
      <c r="E85" s="1" t="s">
        <v>18</v>
      </c>
      <c r="F85" s="1">
        <v>5</v>
      </c>
      <c r="G85" s="1">
        <v>29</v>
      </c>
      <c r="H85" s="1">
        <v>140</v>
      </c>
      <c r="I85" s="1">
        <v>73</v>
      </c>
      <c r="J85" s="14" t="s">
        <v>14</v>
      </c>
      <c r="K85" s="1" t="str">
        <f>_xlfn.XLOOKUP(C85,[1]Sheet!$A:$A,[1]Sheet!$B:$B,"Not Found")</f>
        <v>Component 15</v>
      </c>
      <c r="L85" s="1" t="str">
        <f>_xlfn.XLOOKUP(C85,[1]Sheet!$A:$A,[1]Sheet!$C:$C,"Not Found")</f>
        <v>Electrical</v>
      </c>
      <c r="M85" s="29">
        <f>_xlfn.XLOOKUP(C85,[1]Sheet!$A:$A,[1]Sheet!$D:$D,"Not Found")</f>
        <v>406</v>
      </c>
      <c r="N85" s="1" t="str">
        <f>_xlfn.XLOOKUP(C85,[1]Sheet!$A:$A,[1]Sheet!$E:$E,"Not Found")</f>
        <v>Central</v>
      </c>
      <c r="O85" s="1">
        <f>_xlfn.XLOOKUP(C85,[1]Sheet!$A:$A,[1]Sheet!$F:$F,"Not Found")</f>
        <v>6</v>
      </c>
      <c r="P85" s="1" t="str">
        <f>_xlfn.XLOOKUP(C85,[1]Sheet!$A:$A,[1]Sheet!$G:$G,"Not Found")</f>
        <v>Low</v>
      </c>
      <c r="Q85" s="32">
        <f>Table1[[#This Row],[Current Stock]]*Table1[[#This Row],[Unit Cost (Currency)]]</f>
        <v>56840</v>
      </c>
    </row>
    <row r="86" spans="1:33" x14ac:dyDescent="0.3">
      <c r="A86" s="13" t="s">
        <v>136</v>
      </c>
      <c r="B86" s="2">
        <v>46192</v>
      </c>
      <c r="C86" s="1" t="s">
        <v>35</v>
      </c>
      <c r="D86" s="1" t="s">
        <v>26</v>
      </c>
      <c r="E86" s="1" t="s">
        <v>37</v>
      </c>
      <c r="F86" s="1">
        <v>3</v>
      </c>
      <c r="G86" s="1">
        <v>13</v>
      </c>
      <c r="H86" s="1">
        <v>136</v>
      </c>
      <c r="I86" s="1">
        <v>25</v>
      </c>
      <c r="J86" s="14" t="s">
        <v>19</v>
      </c>
      <c r="K86" s="1" t="str">
        <f>_xlfn.XLOOKUP(C86,[1]Sheet!$A:$A,[1]Sheet!$B:$B,"Not Found")</f>
        <v>Component 12</v>
      </c>
      <c r="L86" s="1" t="str">
        <f>_xlfn.XLOOKUP(C86,[1]Sheet!$A:$A,[1]Sheet!$C:$C,"Not Found")</f>
        <v>Packaging</v>
      </c>
      <c r="M86" s="29">
        <f>_xlfn.XLOOKUP(C86,[1]Sheet!$A:$A,[1]Sheet!$D:$D,"Not Found")</f>
        <v>365</v>
      </c>
      <c r="N86" s="1" t="str">
        <f>_xlfn.XLOOKUP(C86,[1]Sheet!$A:$A,[1]Sheet!$E:$E,"Not Found")</f>
        <v>Delta</v>
      </c>
      <c r="O86" s="1">
        <f>_xlfn.XLOOKUP(C86,[1]Sheet!$A:$A,[1]Sheet!$F:$F,"Not Found")</f>
        <v>6</v>
      </c>
      <c r="P86" s="1" t="str">
        <f>_xlfn.XLOOKUP(C86,[1]Sheet!$A:$A,[1]Sheet!$G:$G,"Not Found")</f>
        <v>Low</v>
      </c>
      <c r="Q86" s="32">
        <f>Table1[[#This Row],[Current Stock]]*Table1[[#This Row],[Unit Cost (Currency)]]</f>
        <v>49640</v>
      </c>
    </row>
    <row r="87" spans="1:33" ht="15" thickBot="1" x14ac:dyDescent="0.35">
      <c r="A87" s="13" t="s">
        <v>137</v>
      </c>
      <c r="B87" s="2">
        <v>46194</v>
      </c>
      <c r="C87" s="1" t="s">
        <v>71</v>
      </c>
      <c r="D87" s="1" t="s">
        <v>17</v>
      </c>
      <c r="E87" s="1" t="s">
        <v>37</v>
      </c>
      <c r="F87" s="1">
        <v>105</v>
      </c>
      <c r="G87" s="1">
        <v>54</v>
      </c>
      <c r="H87" s="1">
        <v>24</v>
      </c>
      <c r="I87" s="1">
        <v>30</v>
      </c>
      <c r="J87" s="14" t="s">
        <v>14</v>
      </c>
      <c r="K87" s="1" t="str">
        <f>_xlfn.XLOOKUP(C87,[1]Sheet!$A:$A,[1]Sheet!$B:$B,"Not Found")</f>
        <v>Component 23</v>
      </c>
      <c r="L87" s="1" t="str">
        <f>_xlfn.XLOOKUP(C87,[1]Sheet!$A:$A,[1]Sheet!$C:$C,"Not Found")</f>
        <v>Electrical</v>
      </c>
      <c r="M87" s="29">
        <f>_xlfn.XLOOKUP(C87,[1]Sheet!$A:$A,[1]Sheet!$D:$D,"Not Found")</f>
        <v>348</v>
      </c>
      <c r="N87" s="1" t="str">
        <f>_xlfn.XLOOKUP(C87,[1]Sheet!$A:$A,[1]Sheet!$E:$E,"Not Found")</f>
        <v>Central</v>
      </c>
      <c r="O87" s="1">
        <f>_xlfn.XLOOKUP(C87,[1]Sheet!$A:$A,[1]Sheet!$F:$F,"Not Found")</f>
        <v>28</v>
      </c>
      <c r="P87" s="1" t="str">
        <f>_xlfn.XLOOKUP(C87,[1]Sheet!$A:$A,[1]Sheet!$G:$G,"Not Found")</f>
        <v>Low</v>
      </c>
      <c r="Q87" s="32">
        <f>Table1[[#This Row],[Current Stock]]*Table1[[#This Row],[Unit Cost (Currency)]]</f>
        <v>8352</v>
      </c>
    </row>
    <row r="88" spans="1:33" ht="16.2" customHeight="1" x14ac:dyDescent="0.3">
      <c r="A88" s="13" t="s">
        <v>138</v>
      </c>
      <c r="B88" s="2">
        <v>46177</v>
      </c>
      <c r="C88" s="1" t="s">
        <v>61</v>
      </c>
      <c r="D88" s="1" t="s">
        <v>12</v>
      </c>
      <c r="E88" s="1" t="s">
        <v>18</v>
      </c>
      <c r="F88" s="1">
        <v>71</v>
      </c>
      <c r="G88" s="1">
        <v>78</v>
      </c>
      <c r="H88" s="1">
        <v>159</v>
      </c>
      <c r="I88" s="1">
        <v>59</v>
      </c>
      <c r="J88" s="14" t="s">
        <v>19</v>
      </c>
      <c r="K88" s="1" t="str">
        <f>_xlfn.XLOOKUP(C88,[1]Sheet!$A:$A,[1]Sheet!$B:$B,"Not Found")</f>
        <v>Component 2</v>
      </c>
      <c r="L88" s="1" t="str">
        <f>_xlfn.XLOOKUP(C88,[1]Sheet!$A:$A,[1]Sheet!$C:$C,"Not Found")</f>
        <v>Packaging</v>
      </c>
      <c r="M88" s="29">
        <f>_xlfn.XLOOKUP(C88,[1]Sheet!$A:$A,[1]Sheet!$D:$D,"Not Found")</f>
        <v>109</v>
      </c>
      <c r="N88" s="1" t="str">
        <f>_xlfn.XLOOKUP(C88,[1]Sheet!$A:$A,[1]Sheet!$E:$E,"Not Found")</f>
        <v>Alpha</v>
      </c>
      <c r="O88" s="1">
        <f>_xlfn.XLOOKUP(C88,[1]Sheet!$A:$A,[1]Sheet!$F:$F,"Not Found")</f>
        <v>10</v>
      </c>
      <c r="P88" s="1" t="str">
        <f>_xlfn.XLOOKUP(C88,[1]Sheet!$A:$A,[1]Sheet!$G:$G,"Not Found")</f>
        <v>Medium</v>
      </c>
      <c r="Q88" s="32">
        <f>Table1[[#This Row],[Current Stock]]*Table1[[#This Row],[Unit Cost (Currency)]]</f>
        <v>17331</v>
      </c>
      <c r="AD88" s="187" t="s">
        <v>381</v>
      </c>
      <c r="AE88" s="189" t="s">
        <v>363</v>
      </c>
      <c r="AF88" s="189" t="s">
        <v>364</v>
      </c>
      <c r="AG88" s="191" t="s">
        <v>365</v>
      </c>
    </row>
    <row r="89" spans="1:33" ht="14.4" customHeight="1" x14ac:dyDescent="0.3">
      <c r="A89" s="13" t="s">
        <v>139</v>
      </c>
      <c r="B89" s="2">
        <v>46196</v>
      </c>
      <c r="C89" s="1" t="s">
        <v>140</v>
      </c>
      <c r="D89" s="1" t="s">
        <v>17</v>
      </c>
      <c r="E89" s="1" t="s">
        <v>13</v>
      </c>
      <c r="F89" s="1">
        <v>49</v>
      </c>
      <c r="G89" s="1">
        <v>38</v>
      </c>
      <c r="H89" s="1">
        <v>17</v>
      </c>
      <c r="I89" s="1">
        <v>38</v>
      </c>
      <c r="J89" s="14" t="s">
        <v>14</v>
      </c>
      <c r="K89" s="1" t="str">
        <f>_xlfn.XLOOKUP(C89,[1]Sheet!$A:$A,[1]Sheet!$B:$B,"Not Found")</f>
        <v>Component 29</v>
      </c>
      <c r="L89" s="1" t="str">
        <f>_xlfn.XLOOKUP(C89,[1]Sheet!$A:$A,[1]Sheet!$C:$C,"Not Found")</f>
        <v>Packaging</v>
      </c>
      <c r="M89" s="29">
        <f>_xlfn.XLOOKUP(C89,[1]Sheet!$A:$A,[1]Sheet!$D:$D,"Not Found")</f>
        <v>73</v>
      </c>
      <c r="N89" s="1" t="str">
        <f>_xlfn.XLOOKUP(C89,[1]Sheet!$A:$A,[1]Sheet!$E:$E,"Not Found")</f>
        <v>Delta</v>
      </c>
      <c r="O89" s="1">
        <f>_xlfn.XLOOKUP(C89,[1]Sheet!$A:$A,[1]Sheet!$F:$F,"Not Found")</f>
        <v>25</v>
      </c>
      <c r="P89" s="1" t="str">
        <f>_xlfn.XLOOKUP(C89,[1]Sheet!$A:$A,[1]Sheet!$G:$G,"Not Found")</f>
        <v>Low</v>
      </c>
      <c r="Q89" s="32">
        <f>Table1[[#This Row],[Current Stock]]*Table1[[#This Row],[Unit Cost (Currency)]]</f>
        <v>1241</v>
      </c>
      <c r="AD89" s="188"/>
      <c r="AE89" s="190"/>
      <c r="AF89" s="190"/>
      <c r="AG89" s="192"/>
    </row>
    <row r="90" spans="1:33" ht="14.4" customHeight="1" x14ac:dyDescent="0.3">
      <c r="A90" s="13" t="s">
        <v>141</v>
      </c>
      <c r="B90" s="2">
        <v>46184</v>
      </c>
      <c r="C90" s="1" t="s">
        <v>28</v>
      </c>
      <c r="D90" s="1" t="s">
        <v>17</v>
      </c>
      <c r="E90" s="1" t="s">
        <v>13</v>
      </c>
      <c r="F90" s="1">
        <v>46</v>
      </c>
      <c r="G90" s="1">
        <v>78</v>
      </c>
      <c r="H90" s="1">
        <v>193</v>
      </c>
      <c r="I90" s="1">
        <v>38</v>
      </c>
      <c r="J90" s="14" t="s">
        <v>14</v>
      </c>
      <c r="K90" s="1" t="str">
        <f>_xlfn.XLOOKUP(C90,[1]Sheet!$A:$A,[1]Sheet!$B:$B,"Not Found")</f>
        <v>Component 15</v>
      </c>
      <c r="L90" s="1" t="str">
        <f>_xlfn.XLOOKUP(C90,[1]Sheet!$A:$A,[1]Sheet!$C:$C,"Not Found")</f>
        <v>Electrical</v>
      </c>
      <c r="M90" s="29">
        <f>_xlfn.XLOOKUP(C90,[1]Sheet!$A:$A,[1]Sheet!$D:$D,"Not Found")</f>
        <v>406</v>
      </c>
      <c r="N90" s="1" t="str">
        <f>_xlfn.XLOOKUP(C90,[1]Sheet!$A:$A,[1]Sheet!$E:$E,"Not Found")</f>
        <v>Central</v>
      </c>
      <c r="O90" s="1">
        <f>_xlfn.XLOOKUP(C90,[1]Sheet!$A:$A,[1]Sheet!$F:$F,"Not Found")</f>
        <v>6</v>
      </c>
      <c r="P90" s="1" t="str">
        <f>_xlfn.XLOOKUP(C90,[1]Sheet!$A:$A,[1]Sheet!$G:$G,"Not Found")</f>
        <v>Low</v>
      </c>
      <c r="Q90" s="32">
        <f>Table1[[#This Row],[Current Stock]]*Table1[[#This Row],[Unit Cost (Currency)]]</f>
        <v>78358</v>
      </c>
      <c r="AD90" s="85" t="s">
        <v>360</v>
      </c>
      <c r="AE90" s="79">
        <v>2</v>
      </c>
      <c r="AF90" s="80">
        <v>6</v>
      </c>
      <c r="AG90" s="86">
        <v>4</v>
      </c>
    </row>
    <row r="91" spans="1:33" ht="15.6" customHeight="1" x14ac:dyDescent="0.3">
      <c r="A91" s="13" t="s">
        <v>142</v>
      </c>
      <c r="B91" s="2">
        <v>46205</v>
      </c>
      <c r="C91" s="1" t="s">
        <v>61</v>
      </c>
      <c r="D91" s="1" t="s">
        <v>17</v>
      </c>
      <c r="E91" s="1" t="s">
        <v>13</v>
      </c>
      <c r="F91" s="1">
        <v>105</v>
      </c>
      <c r="G91" s="1">
        <v>99</v>
      </c>
      <c r="H91" s="1">
        <v>50</v>
      </c>
      <c r="I91" s="1">
        <v>72</v>
      </c>
      <c r="J91" s="14" t="s">
        <v>19</v>
      </c>
      <c r="K91" s="1" t="str">
        <f>_xlfn.XLOOKUP(C91,[1]Sheet!$A:$A,[1]Sheet!$B:$B,"Not Found")</f>
        <v>Component 2</v>
      </c>
      <c r="L91" s="1" t="str">
        <f>_xlfn.XLOOKUP(C91,[1]Sheet!$A:$A,[1]Sheet!$C:$C,"Not Found")</f>
        <v>Packaging</v>
      </c>
      <c r="M91" s="29">
        <f>_xlfn.XLOOKUP(C91,[1]Sheet!$A:$A,[1]Sheet!$D:$D,"Not Found")</f>
        <v>109</v>
      </c>
      <c r="N91" s="1" t="str">
        <f>_xlfn.XLOOKUP(C91,[1]Sheet!$A:$A,[1]Sheet!$E:$E,"Not Found")</f>
        <v>Alpha</v>
      </c>
      <c r="O91" s="1">
        <f>_xlfn.XLOOKUP(C91,[1]Sheet!$A:$A,[1]Sheet!$F:$F,"Not Found")</f>
        <v>10</v>
      </c>
      <c r="P91" s="1" t="str">
        <f>_xlfn.XLOOKUP(C91,[1]Sheet!$A:$A,[1]Sheet!$G:$G,"Not Found")</f>
        <v>Medium</v>
      </c>
      <c r="Q91" s="32">
        <f>Table1[[#This Row],[Current Stock]]*Table1[[#This Row],[Unit Cost (Currency)]]</f>
        <v>5450</v>
      </c>
      <c r="AD91" s="87" t="s">
        <v>361</v>
      </c>
      <c r="AE91" s="80">
        <v>6</v>
      </c>
      <c r="AF91" s="81">
        <v>3</v>
      </c>
      <c r="AG91" s="88">
        <v>5</v>
      </c>
    </row>
    <row r="92" spans="1:33" ht="15" thickBot="1" x14ac:dyDescent="0.35">
      <c r="A92" s="13" t="s">
        <v>143</v>
      </c>
      <c r="B92" s="2">
        <v>46189</v>
      </c>
      <c r="C92" s="1" t="s">
        <v>75</v>
      </c>
      <c r="D92" s="1" t="s">
        <v>26</v>
      </c>
      <c r="E92" s="1" t="s">
        <v>37</v>
      </c>
      <c r="F92" s="1">
        <v>46</v>
      </c>
      <c r="G92" s="1">
        <v>51</v>
      </c>
      <c r="H92" s="1">
        <v>57</v>
      </c>
      <c r="I92" s="1">
        <v>44</v>
      </c>
      <c r="J92" s="14" t="s">
        <v>19</v>
      </c>
      <c r="K92" s="1" t="str">
        <f>_xlfn.XLOOKUP(C92,[1]Sheet!$A:$A,[1]Sheet!$B:$B,"Not Found")</f>
        <v>Component 1</v>
      </c>
      <c r="L92" s="1" t="str">
        <f>_xlfn.XLOOKUP(C92,[1]Sheet!$A:$A,[1]Sheet!$C:$C,"Not Found")</f>
        <v>Safety</v>
      </c>
      <c r="M92" s="29">
        <f>_xlfn.XLOOKUP(C92,[1]Sheet!$A:$A,[1]Sheet!$D:$D,"Not Found")</f>
        <v>375</v>
      </c>
      <c r="N92" s="1" t="str">
        <f>_xlfn.XLOOKUP(C92,[1]Sheet!$A:$A,[1]Sheet!$E:$E,"Not Found")</f>
        <v>Alpha</v>
      </c>
      <c r="O92" s="1">
        <f>_xlfn.XLOOKUP(C92,[1]Sheet!$A:$A,[1]Sheet!$F:$F,"Not Found")</f>
        <v>19</v>
      </c>
      <c r="P92" s="1" t="str">
        <f>_xlfn.XLOOKUP(C92,[1]Sheet!$A:$A,[1]Sheet!$G:$G,"Not Found")</f>
        <v>Low</v>
      </c>
      <c r="Q92" s="32">
        <f>Table1[[#This Row],[Current Stock]]*Table1[[#This Row],[Unit Cost (Currency)]]</f>
        <v>21375</v>
      </c>
      <c r="AD92" s="89" t="s">
        <v>362</v>
      </c>
      <c r="AE92" s="90">
        <v>6</v>
      </c>
      <c r="AF92" s="91">
        <v>6</v>
      </c>
      <c r="AG92" s="92">
        <v>1</v>
      </c>
    </row>
    <row r="93" spans="1:33" ht="15" thickBot="1" x14ac:dyDescent="0.35">
      <c r="A93" s="13" t="s">
        <v>144</v>
      </c>
      <c r="B93" s="2">
        <v>46207</v>
      </c>
      <c r="C93" s="1" t="s">
        <v>16</v>
      </c>
      <c r="D93" s="1" t="s">
        <v>12</v>
      </c>
      <c r="E93" s="1" t="s">
        <v>18</v>
      </c>
      <c r="F93" s="1">
        <v>110</v>
      </c>
      <c r="G93" s="1">
        <v>31</v>
      </c>
      <c r="H93" s="1">
        <v>82</v>
      </c>
      <c r="I93" s="1">
        <v>26</v>
      </c>
      <c r="J93" s="14" t="s">
        <v>19</v>
      </c>
      <c r="K93" s="1" t="str">
        <f>_xlfn.XLOOKUP(C93,[1]Sheet!$A:$A,[1]Sheet!$B:$B,"Not Found")</f>
        <v>Component 39</v>
      </c>
      <c r="L93" s="1" t="str">
        <f>_xlfn.XLOOKUP(C93,[1]Sheet!$A:$A,[1]Sheet!$C:$C,"Not Found")</f>
        <v>Electrical</v>
      </c>
      <c r="M93" s="29">
        <f>_xlfn.XLOOKUP(C93,[1]Sheet!$A:$A,[1]Sheet!$D:$D,"Not Found")</f>
        <v>409</v>
      </c>
      <c r="N93" s="1" t="str">
        <f>_xlfn.XLOOKUP(C93,[1]Sheet!$A:$A,[1]Sheet!$E:$E,"Not Found")</f>
        <v>Central</v>
      </c>
      <c r="O93" s="1">
        <f>_xlfn.XLOOKUP(C93,[1]Sheet!$A:$A,[1]Sheet!$F:$F,"Not Found")</f>
        <v>28</v>
      </c>
      <c r="P93" s="1" t="str">
        <f>_xlfn.XLOOKUP(C93,[1]Sheet!$A:$A,[1]Sheet!$G:$G,"Not Found")</f>
        <v>Low</v>
      </c>
      <c r="Q93" s="32">
        <f>Table1[[#This Row],[Current Stock]]*Table1[[#This Row],[Unit Cost (Currency)]]</f>
        <v>33538</v>
      </c>
    </row>
    <row r="94" spans="1:33" ht="28.8" x14ac:dyDescent="0.3">
      <c r="A94" s="13" t="s">
        <v>145</v>
      </c>
      <c r="B94" s="2">
        <v>46216</v>
      </c>
      <c r="C94" s="1" t="s">
        <v>140</v>
      </c>
      <c r="D94" s="1" t="s">
        <v>26</v>
      </c>
      <c r="E94" s="1" t="s">
        <v>18</v>
      </c>
      <c r="F94" s="1">
        <v>81</v>
      </c>
      <c r="G94" s="1">
        <v>76</v>
      </c>
      <c r="H94" s="1">
        <v>103</v>
      </c>
      <c r="I94" s="1">
        <v>63</v>
      </c>
      <c r="J94" s="14" t="s">
        <v>19</v>
      </c>
      <c r="K94" s="1" t="str">
        <f>_xlfn.XLOOKUP(C94,[1]Sheet!$A:$A,[1]Sheet!$B:$B,"Not Found")</f>
        <v>Component 29</v>
      </c>
      <c r="L94" s="1" t="str">
        <f>_xlfn.XLOOKUP(C94,[1]Sheet!$A:$A,[1]Sheet!$C:$C,"Not Found")</f>
        <v>Packaging</v>
      </c>
      <c r="M94" s="29">
        <f>_xlfn.XLOOKUP(C94,[1]Sheet!$A:$A,[1]Sheet!$D:$D,"Not Found")</f>
        <v>73</v>
      </c>
      <c r="N94" s="1" t="str">
        <f>_xlfn.XLOOKUP(C94,[1]Sheet!$A:$A,[1]Sheet!$E:$E,"Not Found")</f>
        <v>Delta</v>
      </c>
      <c r="O94" s="1">
        <f>_xlfn.XLOOKUP(C94,[1]Sheet!$A:$A,[1]Sheet!$F:$F,"Not Found")</f>
        <v>25</v>
      </c>
      <c r="P94" s="1" t="str">
        <f>_xlfn.XLOOKUP(C94,[1]Sheet!$A:$A,[1]Sheet!$G:$G,"Not Found")</f>
        <v>Low</v>
      </c>
      <c r="Q94" s="32">
        <f>Table1[[#This Row],[Current Stock]]*Table1[[#This Row],[Unit Cost (Currency)]]</f>
        <v>7519</v>
      </c>
      <c r="AD94" s="93" t="s">
        <v>376</v>
      </c>
      <c r="AE94" s="94" t="s">
        <v>377</v>
      </c>
      <c r="AF94" s="95" t="s">
        <v>379</v>
      </c>
      <c r="AG94" s="96" t="s">
        <v>380</v>
      </c>
    </row>
    <row r="95" spans="1:33" x14ac:dyDescent="0.3">
      <c r="A95" s="13" t="s">
        <v>146</v>
      </c>
      <c r="B95" s="2">
        <v>46186</v>
      </c>
      <c r="C95" s="1" t="s">
        <v>122</v>
      </c>
      <c r="D95" s="1" t="s">
        <v>12</v>
      </c>
      <c r="E95" s="1" t="s">
        <v>18</v>
      </c>
      <c r="F95" s="1">
        <v>70</v>
      </c>
      <c r="G95" s="1">
        <v>92</v>
      </c>
      <c r="H95" s="1">
        <v>169</v>
      </c>
      <c r="I95" s="1">
        <v>32</v>
      </c>
      <c r="J95" s="14" t="s">
        <v>14</v>
      </c>
      <c r="K95" s="1" t="str">
        <f>_xlfn.XLOOKUP(C95,[1]Sheet!$A:$A,[1]Sheet!$B:$B,"Not Found")</f>
        <v>Component 36</v>
      </c>
      <c r="L95" s="1" t="str">
        <f>_xlfn.XLOOKUP(C95,[1]Sheet!$A:$A,[1]Sheet!$C:$C,"Not Found")</f>
        <v>Packaging</v>
      </c>
      <c r="M95" s="29">
        <f>_xlfn.XLOOKUP(C95,[1]Sheet!$A:$A,[1]Sheet!$D:$D,"Not Found")</f>
        <v>184</v>
      </c>
      <c r="N95" s="1" t="str">
        <f>_xlfn.XLOOKUP(C95,[1]Sheet!$A:$A,[1]Sheet!$E:$E,"Not Found")</f>
        <v>Central</v>
      </c>
      <c r="O95" s="1">
        <f>_xlfn.XLOOKUP(C95,[1]Sheet!$A:$A,[1]Sheet!$F:$F,"Not Found")</f>
        <v>15</v>
      </c>
      <c r="P95" s="1" t="str">
        <f>_xlfn.XLOOKUP(C95,[1]Sheet!$A:$A,[1]Sheet!$G:$G,"Not Found")</f>
        <v>Medium</v>
      </c>
      <c r="Q95" s="32">
        <f>Table1[[#This Row],[Current Stock]]*Table1[[#This Row],[Unit Cost (Currency)]]</f>
        <v>31096</v>
      </c>
      <c r="AD95" s="121" t="s">
        <v>382</v>
      </c>
      <c r="AE95" s="123">
        <v>6</v>
      </c>
      <c r="AF95" s="125">
        <v>23</v>
      </c>
      <c r="AG95" s="127">
        <v>10</v>
      </c>
    </row>
    <row r="96" spans="1:33" ht="15" thickBot="1" x14ac:dyDescent="0.35">
      <c r="A96" s="13" t="s">
        <v>147</v>
      </c>
      <c r="B96" s="2">
        <v>46192</v>
      </c>
      <c r="C96" s="1" t="s">
        <v>21</v>
      </c>
      <c r="D96" s="1" t="s">
        <v>17</v>
      </c>
      <c r="E96" s="1" t="s">
        <v>18</v>
      </c>
      <c r="F96" s="1">
        <v>41</v>
      </c>
      <c r="G96" s="1">
        <v>7</v>
      </c>
      <c r="H96" s="1">
        <v>157</v>
      </c>
      <c r="I96" s="1">
        <v>44</v>
      </c>
      <c r="J96" s="14" t="s">
        <v>14</v>
      </c>
      <c r="K96" s="1" t="str">
        <f>_xlfn.XLOOKUP(C96,[1]Sheet!$A:$A,[1]Sheet!$B:$B,"Not Found")</f>
        <v>Component 3</v>
      </c>
      <c r="L96" s="1" t="str">
        <f>_xlfn.XLOOKUP(C96,[1]Sheet!$A:$A,[1]Sheet!$C:$C,"Not Found")</f>
        <v>Electrical</v>
      </c>
      <c r="M96" s="29">
        <f>_xlfn.XLOOKUP(C96,[1]Sheet!$A:$A,[1]Sheet!$D:$D,"Not Found")</f>
        <v>246</v>
      </c>
      <c r="N96" s="1" t="str">
        <f>_xlfn.XLOOKUP(C96,[1]Sheet!$A:$A,[1]Sheet!$E:$E,"Not Found")</f>
        <v>Delta</v>
      </c>
      <c r="O96" s="1">
        <f>_xlfn.XLOOKUP(C96,[1]Sheet!$A:$A,[1]Sheet!$F:$F,"Not Found")</f>
        <v>30</v>
      </c>
      <c r="P96" s="1" t="str">
        <f>_xlfn.XLOOKUP(C96,[1]Sheet!$A:$A,[1]Sheet!$G:$G,"Not Found")</f>
        <v>High</v>
      </c>
      <c r="Q96" s="32">
        <f>Table1[[#This Row],[Current Stock]]*Table1[[#This Row],[Unit Cost (Currency)]]</f>
        <v>38622</v>
      </c>
      <c r="AD96" s="122"/>
      <c r="AE96" s="124"/>
      <c r="AF96" s="126"/>
      <c r="AG96" s="128"/>
    </row>
    <row r="97" spans="1:27" x14ac:dyDescent="0.3">
      <c r="A97" s="13" t="s">
        <v>148</v>
      </c>
      <c r="B97" s="2">
        <v>46203</v>
      </c>
      <c r="C97" s="1" t="s">
        <v>149</v>
      </c>
      <c r="D97" s="1" t="s">
        <v>26</v>
      </c>
      <c r="E97" s="1" t="s">
        <v>37</v>
      </c>
      <c r="F97" s="1">
        <v>98</v>
      </c>
      <c r="G97" s="1">
        <v>98</v>
      </c>
      <c r="H97" s="1">
        <v>70</v>
      </c>
      <c r="I97" s="1">
        <v>27</v>
      </c>
      <c r="J97" s="14" t="s">
        <v>19</v>
      </c>
      <c r="K97" s="1" t="str">
        <f>_xlfn.XLOOKUP(C97,[1]Sheet!$A:$A,[1]Sheet!$B:$B,"Not Found")</f>
        <v>Component 38</v>
      </c>
      <c r="L97" s="1" t="str">
        <f>_xlfn.XLOOKUP(C97,[1]Sheet!$A:$A,[1]Sheet!$C:$C,"Not Found")</f>
        <v>Mechanical</v>
      </c>
      <c r="M97" s="29">
        <f>_xlfn.XLOOKUP(C97,[1]Sheet!$A:$A,[1]Sheet!$D:$D,"Not Found")</f>
        <v>306</v>
      </c>
      <c r="N97" s="1" t="str">
        <f>_xlfn.XLOOKUP(C97,[1]Sheet!$A:$A,[1]Sheet!$E:$E,"Not Found")</f>
        <v>Delta</v>
      </c>
      <c r="O97" s="1">
        <f>_xlfn.XLOOKUP(C97,[1]Sheet!$A:$A,[1]Sheet!$F:$F,"Not Found")</f>
        <v>21</v>
      </c>
      <c r="P97" s="1" t="str">
        <f>_xlfn.XLOOKUP(C97,[1]Sheet!$A:$A,[1]Sheet!$G:$G,"Not Found")</f>
        <v>High</v>
      </c>
      <c r="Q97" s="32">
        <f>Table1[[#This Row],[Current Stock]]*Table1[[#This Row],[Unit Cost (Currency)]]</f>
        <v>21420</v>
      </c>
    </row>
    <row r="98" spans="1:27" x14ac:dyDescent="0.3">
      <c r="A98" s="13" t="s">
        <v>150</v>
      </c>
      <c r="B98" s="2">
        <v>46218</v>
      </c>
      <c r="C98" s="1" t="s">
        <v>83</v>
      </c>
      <c r="D98" s="1" t="s">
        <v>26</v>
      </c>
      <c r="E98" s="1" t="s">
        <v>37</v>
      </c>
      <c r="F98" s="1">
        <v>40</v>
      </c>
      <c r="G98" s="1">
        <v>39</v>
      </c>
      <c r="H98" s="1">
        <v>12</v>
      </c>
      <c r="I98" s="1">
        <v>66</v>
      </c>
      <c r="J98" s="14" t="s">
        <v>19</v>
      </c>
      <c r="K98" s="1" t="str">
        <f>_xlfn.XLOOKUP(C98,[1]Sheet!$A:$A,[1]Sheet!$B:$B,"Not Found")</f>
        <v>Component 7</v>
      </c>
      <c r="L98" s="1" t="str">
        <f>_xlfn.XLOOKUP(C98,[1]Sheet!$A:$A,[1]Sheet!$C:$C,"Not Found")</f>
        <v>Electrical</v>
      </c>
      <c r="M98" s="29">
        <f>_xlfn.XLOOKUP(C98,[1]Sheet!$A:$A,[1]Sheet!$D:$D,"Not Found")</f>
        <v>374</v>
      </c>
      <c r="N98" s="1" t="str">
        <f>_xlfn.XLOOKUP(C98,[1]Sheet!$A:$A,[1]Sheet!$E:$E,"Not Found")</f>
        <v>Bravo</v>
      </c>
      <c r="O98" s="1">
        <f>_xlfn.XLOOKUP(C98,[1]Sheet!$A:$A,[1]Sheet!$F:$F,"Not Found")</f>
        <v>5</v>
      </c>
      <c r="P98" s="1" t="str">
        <f>_xlfn.XLOOKUP(C98,[1]Sheet!$A:$A,[1]Sheet!$G:$G,"Not Found")</f>
        <v>Low</v>
      </c>
      <c r="Q98" s="32">
        <f>Table1[[#This Row],[Current Stock]]*Table1[[#This Row],[Unit Cost (Currency)]]</f>
        <v>4488</v>
      </c>
    </row>
    <row r="99" spans="1:27" x14ac:dyDescent="0.3">
      <c r="A99" s="13" t="s">
        <v>151</v>
      </c>
      <c r="B99" s="2">
        <v>46183</v>
      </c>
      <c r="C99" s="1" t="s">
        <v>31</v>
      </c>
      <c r="D99" s="1" t="s">
        <v>17</v>
      </c>
      <c r="E99" s="1" t="s">
        <v>13</v>
      </c>
      <c r="F99" s="1">
        <v>31</v>
      </c>
      <c r="G99" s="1">
        <v>0</v>
      </c>
      <c r="H99" s="1">
        <v>31</v>
      </c>
      <c r="I99" s="1">
        <v>57</v>
      </c>
      <c r="J99" s="14" t="s">
        <v>19</v>
      </c>
      <c r="K99" s="1" t="str">
        <f>_xlfn.XLOOKUP(C99,[1]Sheet!$A:$A,[1]Sheet!$B:$B,"Not Found")</f>
        <v>Component 24</v>
      </c>
      <c r="L99" s="1" t="str">
        <f>_xlfn.XLOOKUP(C99,[1]Sheet!$A:$A,[1]Sheet!$C:$C,"Not Found")</f>
        <v>Packaging</v>
      </c>
      <c r="M99" s="29">
        <f>_xlfn.XLOOKUP(C99,[1]Sheet!$A:$A,[1]Sheet!$D:$D,"Not Found")</f>
        <v>224</v>
      </c>
      <c r="N99" s="1" t="str">
        <f>_xlfn.XLOOKUP(C99,[1]Sheet!$A:$A,[1]Sheet!$E:$E,"Not Found")</f>
        <v>Bravo</v>
      </c>
      <c r="O99" s="1">
        <f>_xlfn.XLOOKUP(C99,[1]Sheet!$A:$A,[1]Sheet!$F:$F,"Not Found")</f>
        <v>12</v>
      </c>
      <c r="P99" s="1" t="str">
        <f>_xlfn.XLOOKUP(C99,[1]Sheet!$A:$A,[1]Sheet!$G:$G,"Not Found")</f>
        <v>Medium</v>
      </c>
      <c r="Q99" s="32">
        <f>Table1[[#This Row],[Current Stock]]*Table1[[#This Row],[Unit Cost (Currency)]]</f>
        <v>6944</v>
      </c>
    </row>
    <row r="100" spans="1:27" x14ac:dyDescent="0.3">
      <c r="A100" s="13" t="s">
        <v>152</v>
      </c>
      <c r="B100" s="2">
        <v>46174</v>
      </c>
      <c r="C100" s="1" t="s">
        <v>71</v>
      </c>
      <c r="D100" s="1" t="s">
        <v>12</v>
      </c>
      <c r="E100" s="1" t="s">
        <v>18</v>
      </c>
      <c r="F100" s="1">
        <v>73</v>
      </c>
      <c r="G100" s="1">
        <v>8</v>
      </c>
      <c r="H100" s="1">
        <v>66</v>
      </c>
      <c r="I100" s="1">
        <v>30</v>
      </c>
      <c r="J100" s="14" t="s">
        <v>19</v>
      </c>
      <c r="K100" s="1" t="str">
        <f>_xlfn.XLOOKUP(C100,[1]Sheet!$A:$A,[1]Sheet!$B:$B,"Not Found")</f>
        <v>Component 23</v>
      </c>
      <c r="L100" s="1" t="str">
        <f>_xlfn.XLOOKUP(C100,[1]Sheet!$A:$A,[1]Sheet!$C:$C,"Not Found")</f>
        <v>Electrical</v>
      </c>
      <c r="M100" s="29">
        <f>_xlfn.XLOOKUP(C100,[1]Sheet!$A:$A,[1]Sheet!$D:$D,"Not Found")</f>
        <v>348</v>
      </c>
      <c r="N100" s="1" t="str">
        <f>_xlfn.XLOOKUP(C100,[1]Sheet!$A:$A,[1]Sheet!$E:$E,"Not Found")</f>
        <v>Central</v>
      </c>
      <c r="O100" s="1">
        <f>_xlfn.XLOOKUP(C100,[1]Sheet!$A:$A,[1]Sheet!$F:$F,"Not Found")</f>
        <v>28</v>
      </c>
      <c r="P100" s="1" t="str">
        <f>_xlfn.XLOOKUP(C100,[1]Sheet!$A:$A,[1]Sheet!$G:$G,"Not Found")</f>
        <v>Low</v>
      </c>
      <c r="Q100" s="32">
        <f>Table1[[#This Row],[Current Stock]]*Table1[[#This Row],[Unit Cost (Currency)]]</f>
        <v>22968</v>
      </c>
    </row>
    <row r="101" spans="1:27" x14ac:dyDescent="0.3">
      <c r="A101" s="13" t="s">
        <v>153</v>
      </c>
      <c r="B101" s="2">
        <v>46194</v>
      </c>
      <c r="C101" s="1" t="s">
        <v>149</v>
      </c>
      <c r="D101" s="1" t="s">
        <v>26</v>
      </c>
      <c r="E101" s="1" t="s">
        <v>18</v>
      </c>
      <c r="F101" s="1">
        <v>81</v>
      </c>
      <c r="G101" s="1">
        <v>46</v>
      </c>
      <c r="H101" s="1">
        <v>232</v>
      </c>
      <c r="I101" s="1">
        <v>20</v>
      </c>
      <c r="J101" s="14" t="s">
        <v>19</v>
      </c>
      <c r="K101" s="1" t="str">
        <f>_xlfn.XLOOKUP(C101,[1]Sheet!$A:$A,[1]Sheet!$B:$B,"Not Found")</f>
        <v>Component 38</v>
      </c>
      <c r="L101" s="1" t="str">
        <f>_xlfn.XLOOKUP(C101,[1]Sheet!$A:$A,[1]Sheet!$C:$C,"Not Found")</f>
        <v>Mechanical</v>
      </c>
      <c r="M101" s="29">
        <f>_xlfn.XLOOKUP(C101,[1]Sheet!$A:$A,[1]Sheet!$D:$D,"Not Found")</f>
        <v>306</v>
      </c>
      <c r="N101" s="1" t="str">
        <f>_xlfn.XLOOKUP(C101,[1]Sheet!$A:$A,[1]Sheet!$E:$E,"Not Found")</f>
        <v>Delta</v>
      </c>
      <c r="O101" s="1">
        <f>_xlfn.XLOOKUP(C101,[1]Sheet!$A:$A,[1]Sheet!$F:$F,"Not Found")</f>
        <v>21</v>
      </c>
      <c r="P101" s="1" t="str">
        <f>_xlfn.XLOOKUP(C101,[1]Sheet!$A:$A,[1]Sheet!$G:$G,"Not Found")</f>
        <v>High</v>
      </c>
      <c r="Q101" s="32">
        <f>Table1[[#This Row],[Current Stock]]*Table1[[#This Row],[Unit Cost (Currency)]]</f>
        <v>70992</v>
      </c>
    </row>
    <row r="102" spans="1:27" x14ac:dyDescent="0.3">
      <c r="A102" s="13" t="s">
        <v>154</v>
      </c>
      <c r="B102" s="2">
        <v>46189</v>
      </c>
      <c r="C102" s="1" t="s">
        <v>81</v>
      </c>
      <c r="D102" s="1" t="s">
        <v>26</v>
      </c>
      <c r="E102" s="1" t="s">
        <v>37</v>
      </c>
      <c r="F102" s="1">
        <v>42</v>
      </c>
      <c r="G102" s="1">
        <v>26</v>
      </c>
      <c r="H102" s="1">
        <v>105</v>
      </c>
      <c r="I102" s="1">
        <v>24</v>
      </c>
      <c r="J102" s="14" t="s">
        <v>19</v>
      </c>
      <c r="K102" s="1" t="str">
        <f>_xlfn.XLOOKUP(C102,[1]Sheet!$A:$A,[1]Sheet!$B:$B,"Not Found")</f>
        <v>Component 17</v>
      </c>
      <c r="L102" s="1" t="str">
        <f>_xlfn.XLOOKUP(C102,[1]Sheet!$A:$A,[1]Sheet!$C:$C,"Not Found")</f>
        <v>Safety</v>
      </c>
      <c r="M102" s="29">
        <f>_xlfn.XLOOKUP(C102,[1]Sheet!$A:$A,[1]Sheet!$D:$D,"Not Found")</f>
        <v>285</v>
      </c>
      <c r="N102" s="1" t="str">
        <f>_xlfn.XLOOKUP(C102,[1]Sheet!$A:$A,[1]Sheet!$E:$E,"Not Found")</f>
        <v>Delta</v>
      </c>
      <c r="O102" s="1">
        <f>_xlfn.XLOOKUP(C102,[1]Sheet!$A:$A,[1]Sheet!$F:$F,"Not Found")</f>
        <v>27</v>
      </c>
      <c r="P102" s="1" t="str">
        <f>_xlfn.XLOOKUP(C102,[1]Sheet!$A:$A,[1]Sheet!$G:$G,"Not Found")</f>
        <v>Low</v>
      </c>
      <c r="Q102" s="32">
        <f>Table1[[#This Row],[Current Stock]]*Table1[[#This Row],[Unit Cost (Currency)]]</f>
        <v>29925</v>
      </c>
    </row>
    <row r="103" spans="1:27" x14ac:dyDescent="0.3">
      <c r="A103" s="13" t="s">
        <v>155</v>
      </c>
      <c r="B103" s="2">
        <v>46206</v>
      </c>
      <c r="C103" s="1" t="s">
        <v>90</v>
      </c>
      <c r="D103" s="1" t="s">
        <v>17</v>
      </c>
      <c r="E103" s="1" t="s">
        <v>18</v>
      </c>
      <c r="F103" s="1">
        <v>98</v>
      </c>
      <c r="G103" s="1">
        <v>48</v>
      </c>
      <c r="H103" s="1">
        <v>121</v>
      </c>
      <c r="I103" s="1">
        <v>71</v>
      </c>
      <c r="J103" s="14" t="s">
        <v>14</v>
      </c>
      <c r="K103" s="1" t="str">
        <f>_xlfn.XLOOKUP(C103,[1]Sheet!$A:$A,[1]Sheet!$B:$B,"Not Found")</f>
        <v>Component 22</v>
      </c>
      <c r="L103" s="1" t="str">
        <f>_xlfn.XLOOKUP(C103,[1]Sheet!$A:$A,[1]Sheet!$C:$C,"Not Found")</f>
        <v>Packaging</v>
      </c>
      <c r="M103" s="29">
        <f>_xlfn.XLOOKUP(C103,[1]Sheet!$A:$A,[1]Sheet!$D:$D,"Not Found")</f>
        <v>421</v>
      </c>
      <c r="N103" s="1" t="str">
        <f>_xlfn.XLOOKUP(C103,[1]Sheet!$A:$A,[1]Sheet!$E:$E,"Not Found")</f>
        <v>Bravo</v>
      </c>
      <c r="O103" s="1">
        <f>_xlfn.XLOOKUP(C103,[1]Sheet!$A:$A,[1]Sheet!$F:$F,"Not Found")</f>
        <v>12</v>
      </c>
      <c r="P103" s="1" t="str">
        <f>_xlfn.XLOOKUP(C103,[1]Sheet!$A:$A,[1]Sheet!$G:$G,"Not Found")</f>
        <v>Medium</v>
      </c>
      <c r="Q103" s="32">
        <f>Table1[[#This Row],[Current Stock]]*Table1[[#This Row],[Unit Cost (Currency)]]</f>
        <v>50941</v>
      </c>
    </row>
    <row r="104" spans="1:27" x14ac:dyDescent="0.3">
      <c r="A104" s="13" t="s">
        <v>156</v>
      </c>
      <c r="B104" s="2">
        <v>46203</v>
      </c>
      <c r="C104" s="1" t="s">
        <v>157</v>
      </c>
      <c r="D104" s="1" t="s">
        <v>26</v>
      </c>
      <c r="E104" s="1" t="s">
        <v>37</v>
      </c>
      <c r="F104" s="1">
        <v>78</v>
      </c>
      <c r="G104" s="1">
        <v>42</v>
      </c>
      <c r="H104" s="1">
        <v>68</v>
      </c>
      <c r="I104" s="1">
        <v>62</v>
      </c>
      <c r="J104" s="14" t="s">
        <v>19</v>
      </c>
      <c r="K104" s="1" t="str">
        <f>_xlfn.XLOOKUP(C104,[1]Sheet!$A:$A,[1]Sheet!$B:$B,"Not Found")</f>
        <v>Component 28</v>
      </c>
      <c r="L104" s="1" t="str">
        <f>_xlfn.XLOOKUP(C104,[1]Sheet!$A:$A,[1]Sheet!$C:$C,"Not Found")</f>
        <v>Mechanical</v>
      </c>
      <c r="M104" s="29">
        <f>_xlfn.XLOOKUP(C104,[1]Sheet!$A:$A,[1]Sheet!$D:$D,"Not Found")</f>
        <v>463</v>
      </c>
      <c r="N104" s="1" t="str">
        <f>_xlfn.XLOOKUP(C104,[1]Sheet!$A:$A,[1]Sheet!$E:$E,"Not Found")</f>
        <v>Central</v>
      </c>
      <c r="O104" s="1">
        <f>_xlfn.XLOOKUP(C104,[1]Sheet!$A:$A,[1]Sheet!$F:$F,"Not Found")</f>
        <v>22</v>
      </c>
      <c r="P104" s="1" t="str">
        <f>_xlfn.XLOOKUP(C104,[1]Sheet!$A:$A,[1]Sheet!$G:$G,"Not Found")</f>
        <v>Low</v>
      </c>
      <c r="Q104" s="32">
        <f>Table1[[#This Row],[Current Stock]]*Table1[[#This Row],[Unit Cost (Currency)]]</f>
        <v>31484</v>
      </c>
    </row>
    <row r="105" spans="1:27" x14ac:dyDescent="0.3">
      <c r="A105" s="13" t="s">
        <v>158</v>
      </c>
      <c r="B105" s="2">
        <v>46204</v>
      </c>
      <c r="C105" s="1" t="s">
        <v>52</v>
      </c>
      <c r="D105" s="1" t="s">
        <v>12</v>
      </c>
      <c r="E105" s="1" t="s">
        <v>37</v>
      </c>
      <c r="F105" s="1">
        <v>86</v>
      </c>
      <c r="G105" s="1">
        <v>8</v>
      </c>
      <c r="H105" s="1">
        <v>239</v>
      </c>
      <c r="I105" s="1">
        <v>66</v>
      </c>
      <c r="J105" s="14" t="s">
        <v>19</v>
      </c>
      <c r="K105" s="1" t="str">
        <f>_xlfn.XLOOKUP(C105,[1]Sheet!$A:$A,[1]Sheet!$B:$B,"Not Found")</f>
        <v>Component 4</v>
      </c>
      <c r="L105" s="1" t="str">
        <f>_xlfn.XLOOKUP(C105,[1]Sheet!$A:$A,[1]Sheet!$C:$C,"Not Found")</f>
        <v>Mechanical</v>
      </c>
      <c r="M105" s="29">
        <f>_xlfn.XLOOKUP(C105,[1]Sheet!$A:$A,[1]Sheet!$D:$D,"Not Found")</f>
        <v>165</v>
      </c>
      <c r="N105" s="1" t="str">
        <f>_xlfn.XLOOKUP(C105,[1]Sheet!$A:$A,[1]Sheet!$E:$E,"Not Found")</f>
        <v>Central</v>
      </c>
      <c r="O105" s="1">
        <f>_xlfn.XLOOKUP(C105,[1]Sheet!$A:$A,[1]Sheet!$F:$F,"Not Found")</f>
        <v>21</v>
      </c>
      <c r="P105" s="1" t="str">
        <f>_xlfn.XLOOKUP(C105,[1]Sheet!$A:$A,[1]Sheet!$G:$G,"Not Found")</f>
        <v>High</v>
      </c>
      <c r="Q105" s="32">
        <f>Table1[[#This Row],[Current Stock]]*Table1[[#This Row],[Unit Cost (Currency)]]</f>
        <v>39435</v>
      </c>
    </row>
    <row r="106" spans="1:27" ht="18" x14ac:dyDescent="0.35">
      <c r="A106" s="13" t="s">
        <v>159</v>
      </c>
      <c r="B106" s="2">
        <v>46202</v>
      </c>
      <c r="C106" s="1" t="s">
        <v>42</v>
      </c>
      <c r="D106" s="1" t="s">
        <v>26</v>
      </c>
      <c r="E106" s="1" t="s">
        <v>13</v>
      </c>
      <c r="F106" s="1">
        <v>79</v>
      </c>
      <c r="G106" s="1">
        <v>44</v>
      </c>
      <c r="H106" s="1">
        <v>140</v>
      </c>
      <c r="I106" s="1">
        <v>64</v>
      </c>
      <c r="J106" s="14" t="s">
        <v>19</v>
      </c>
      <c r="K106" s="1" t="str">
        <f>_xlfn.XLOOKUP(C106,[1]Sheet!$A:$A,[1]Sheet!$B:$B,"Not Found")</f>
        <v>Component 19</v>
      </c>
      <c r="L106" s="1" t="str">
        <f>_xlfn.XLOOKUP(C106,[1]Sheet!$A:$A,[1]Sheet!$C:$C,"Not Found")</f>
        <v>Mechanical</v>
      </c>
      <c r="M106" s="29">
        <f>_xlfn.XLOOKUP(C106,[1]Sheet!$A:$A,[1]Sheet!$D:$D,"Not Found")</f>
        <v>239</v>
      </c>
      <c r="N106" s="1" t="str">
        <f>_xlfn.XLOOKUP(C106,[1]Sheet!$A:$A,[1]Sheet!$E:$E,"Not Found")</f>
        <v>Central</v>
      </c>
      <c r="O106" s="1">
        <f>_xlfn.XLOOKUP(C106,[1]Sheet!$A:$A,[1]Sheet!$F:$F,"Not Found")</f>
        <v>28</v>
      </c>
      <c r="P106" s="1" t="str">
        <f>_xlfn.XLOOKUP(C106,[1]Sheet!$A:$A,[1]Sheet!$G:$G,"Not Found")</f>
        <v>High</v>
      </c>
      <c r="Q106" s="32">
        <f>Table1[[#This Row],[Current Stock]]*Table1[[#This Row],[Unit Cost (Currency)]]</f>
        <v>33460</v>
      </c>
      <c r="S106" s="7" t="s">
        <v>369</v>
      </c>
      <c r="T106" s="77"/>
    </row>
    <row r="107" spans="1:27" x14ac:dyDescent="0.3">
      <c r="A107" s="13" t="s">
        <v>160</v>
      </c>
      <c r="B107" s="2">
        <v>46180</v>
      </c>
      <c r="C107" s="1" t="s">
        <v>23</v>
      </c>
      <c r="D107" s="1" t="s">
        <v>26</v>
      </c>
      <c r="E107" s="1" t="s">
        <v>18</v>
      </c>
      <c r="F107" s="1">
        <v>3</v>
      </c>
      <c r="G107" s="1">
        <v>62</v>
      </c>
      <c r="H107" s="1">
        <v>224</v>
      </c>
      <c r="I107" s="1">
        <v>42</v>
      </c>
      <c r="J107" s="14" t="s">
        <v>14</v>
      </c>
      <c r="K107" s="1" t="str">
        <f>_xlfn.XLOOKUP(C107,[1]Sheet!$A:$A,[1]Sheet!$B:$B,"Not Found")</f>
        <v>Component 26</v>
      </c>
      <c r="L107" s="1" t="str">
        <f>_xlfn.XLOOKUP(C107,[1]Sheet!$A:$A,[1]Sheet!$C:$C,"Not Found")</f>
        <v>Safety</v>
      </c>
      <c r="M107" s="29">
        <f>_xlfn.XLOOKUP(C107,[1]Sheet!$A:$A,[1]Sheet!$D:$D,"Not Found")</f>
        <v>326</v>
      </c>
      <c r="N107" s="1" t="str">
        <f>_xlfn.XLOOKUP(C107,[1]Sheet!$A:$A,[1]Sheet!$E:$E,"Not Found")</f>
        <v>Central</v>
      </c>
      <c r="O107" s="1">
        <f>_xlfn.XLOOKUP(C107,[1]Sheet!$A:$A,[1]Sheet!$F:$F,"Not Found")</f>
        <v>11</v>
      </c>
      <c r="P107" s="1" t="str">
        <f>_xlfn.XLOOKUP(C107,[1]Sheet!$A:$A,[1]Sheet!$G:$G,"Not Found")</f>
        <v>High</v>
      </c>
      <c r="Q107" s="32">
        <f>Table1[[#This Row],[Current Stock]]*Table1[[#This Row],[Unit Cost (Currency)]]</f>
        <v>73024</v>
      </c>
    </row>
    <row r="108" spans="1:27" ht="14.4" customHeight="1" x14ac:dyDescent="0.3">
      <c r="A108" s="13" t="s">
        <v>161</v>
      </c>
      <c r="B108" s="2">
        <v>46192</v>
      </c>
      <c r="C108" s="1" t="s">
        <v>112</v>
      </c>
      <c r="D108" s="1" t="s">
        <v>12</v>
      </c>
      <c r="E108" s="1" t="s">
        <v>13</v>
      </c>
      <c r="F108" s="1">
        <v>49</v>
      </c>
      <c r="G108" s="1">
        <v>37</v>
      </c>
      <c r="H108" s="1">
        <v>226</v>
      </c>
      <c r="I108" s="1">
        <v>30</v>
      </c>
      <c r="J108" s="14" t="s">
        <v>19</v>
      </c>
      <c r="K108" s="1" t="str">
        <f>_xlfn.XLOOKUP(C108,[1]Sheet!$A:$A,[1]Sheet!$B:$B,"Not Found")</f>
        <v>Component 27</v>
      </c>
      <c r="L108" s="1" t="str">
        <f>_xlfn.XLOOKUP(C108,[1]Sheet!$A:$A,[1]Sheet!$C:$C,"Not Found")</f>
        <v>Mechanical</v>
      </c>
      <c r="M108" s="29">
        <f>_xlfn.XLOOKUP(C108,[1]Sheet!$A:$A,[1]Sheet!$D:$D,"Not Found")</f>
        <v>348</v>
      </c>
      <c r="N108" s="1" t="str">
        <f>_xlfn.XLOOKUP(C108,[1]Sheet!$A:$A,[1]Sheet!$E:$E,"Not Found")</f>
        <v>Bravo</v>
      </c>
      <c r="O108" s="1">
        <f>_xlfn.XLOOKUP(C108,[1]Sheet!$A:$A,[1]Sheet!$F:$F,"Not Found")</f>
        <v>3</v>
      </c>
      <c r="P108" s="1" t="str">
        <f>_xlfn.XLOOKUP(C108,[1]Sheet!$A:$A,[1]Sheet!$G:$G,"Not Found")</f>
        <v>High</v>
      </c>
      <c r="Q108" s="32">
        <f>Table1[[#This Row],[Current Stock]]*Table1[[#This Row],[Unit Cost (Currency)]]</f>
        <v>78648</v>
      </c>
      <c r="V108" s="78"/>
      <c r="W108" s="78"/>
      <c r="X108" s="78"/>
      <c r="Y108" s="78"/>
      <c r="Z108" s="78"/>
      <c r="AA108" s="78"/>
    </row>
    <row r="109" spans="1:27" ht="14.4" customHeight="1" x14ac:dyDescent="0.3">
      <c r="A109" s="13" t="s">
        <v>162</v>
      </c>
      <c r="B109" s="2">
        <v>46187</v>
      </c>
      <c r="C109" s="1" t="s">
        <v>11</v>
      </c>
      <c r="D109" s="1" t="s">
        <v>26</v>
      </c>
      <c r="E109" s="1" t="s">
        <v>37</v>
      </c>
      <c r="F109" s="1">
        <v>41</v>
      </c>
      <c r="G109" s="1">
        <v>85</v>
      </c>
      <c r="H109" s="1">
        <v>102</v>
      </c>
      <c r="I109" s="1">
        <v>46</v>
      </c>
      <c r="J109" s="14" t="s">
        <v>14</v>
      </c>
      <c r="K109" s="1" t="str">
        <f>_xlfn.XLOOKUP(C109,[1]Sheet!$A:$A,[1]Sheet!$B:$B,"Not Found")</f>
        <v>Component 21</v>
      </c>
      <c r="L109" s="1" t="str">
        <f>_xlfn.XLOOKUP(C109,[1]Sheet!$A:$A,[1]Sheet!$C:$C,"Not Found")</f>
        <v>Packaging</v>
      </c>
      <c r="M109" s="29">
        <f>_xlfn.XLOOKUP(C109,[1]Sheet!$A:$A,[1]Sheet!$D:$D,"Not Found")</f>
        <v>313</v>
      </c>
      <c r="N109" s="1" t="str">
        <f>_xlfn.XLOOKUP(C109,[1]Sheet!$A:$A,[1]Sheet!$E:$E,"Not Found")</f>
        <v>Delta</v>
      </c>
      <c r="O109" s="1">
        <f>_xlfn.XLOOKUP(C109,[1]Sheet!$A:$A,[1]Sheet!$F:$F,"Not Found")</f>
        <v>13</v>
      </c>
      <c r="P109" s="1" t="str">
        <f>_xlfn.XLOOKUP(C109,[1]Sheet!$A:$A,[1]Sheet!$G:$G,"Not Found")</f>
        <v>High</v>
      </c>
      <c r="Q109" s="32">
        <f>Table1[[#This Row],[Current Stock]]*Table1[[#This Row],[Unit Cost (Currency)]]</f>
        <v>31926</v>
      </c>
      <c r="S109" s="130" t="s">
        <v>366</v>
      </c>
      <c r="T109" s="130"/>
      <c r="U109" s="130"/>
      <c r="V109" s="78"/>
      <c r="W109" s="78"/>
      <c r="X109" s="78"/>
      <c r="Y109" s="78"/>
      <c r="Z109" s="78"/>
      <c r="AA109" s="78"/>
    </row>
    <row r="110" spans="1:27" x14ac:dyDescent="0.3">
      <c r="A110" s="13" t="s">
        <v>163</v>
      </c>
      <c r="B110" s="2">
        <v>46179</v>
      </c>
      <c r="C110" s="1" t="s">
        <v>28</v>
      </c>
      <c r="D110" s="1" t="s">
        <v>26</v>
      </c>
      <c r="E110" s="1" t="s">
        <v>13</v>
      </c>
      <c r="F110" s="1">
        <v>45</v>
      </c>
      <c r="G110" s="1">
        <v>19</v>
      </c>
      <c r="H110" s="1">
        <v>125</v>
      </c>
      <c r="I110" s="1">
        <v>44</v>
      </c>
      <c r="J110" s="14" t="s">
        <v>14</v>
      </c>
      <c r="K110" s="1" t="str">
        <f>_xlfn.XLOOKUP(C110,[1]Sheet!$A:$A,[1]Sheet!$B:$B,"Not Found")</f>
        <v>Component 15</v>
      </c>
      <c r="L110" s="1" t="str">
        <f>_xlfn.XLOOKUP(C110,[1]Sheet!$A:$A,[1]Sheet!$C:$C,"Not Found")</f>
        <v>Electrical</v>
      </c>
      <c r="M110" s="29">
        <f>_xlfn.XLOOKUP(C110,[1]Sheet!$A:$A,[1]Sheet!$D:$D,"Not Found")</f>
        <v>406</v>
      </c>
      <c r="N110" s="1" t="str">
        <f>_xlfn.XLOOKUP(C110,[1]Sheet!$A:$A,[1]Sheet!$E:$E,"Not Found")</f>
        <v>Central</v>
      </c>
      <c r="O110" s="1">
        <f>_xlfn.XLOOKUP(C110,[1]Sheet!$A:$A,[1]Sheet!$F:$F,"Not Found")</f>
        <v>6</v>
      </c>
      <c r="P110" s="1" t="str">
        <f>_xlfn.XLOOKUP(C110,[1]Sheet!$A:$A,[1]Sheet!$G:$G,"Not Found")</f>
        <v>Low</v>
      </c>
      <c r="Q110" s="32">
        <f>Table1[[#This Row],[Current Stock]]*Table1[[#This Row],[Unit Cost (Currency)]]</f>
        <v>50750</v>
      </c>
    </row>
    <row r="111" spans="1:27" x14ac:dyDescent="0.3">
      <c r="A111" s="13" t="s">
        <v>164</v>
      </c>
      <c r="B111" s="2">
        <v>46178</v>
      </c>
      <c r="C111" s="1" t="s">
        <v>122</v>
      </c>
      <c r="D111" s="1" t="s">
        <v>26</v>
      </c>
      <c r="E111" s="1" t="s">
        <v>37</v>
      </c>
      <c r="F111" s="1">
        <v>34</v>
      </c>
      <c r="G111" s="1">
        <v>18</v>
      </c>
      <c r="H111" s="1">
        <v>7</v>
      </c>
      <c r="I111" s="1">
        <v>43</v>
      </c>
      <c r="J111" s="14" t="s">
        <v>14</v>
      </c>
      <c r="K111" s="1" t="str">
        <f>_xlfn.XLOOKUP(C111,[1]Sheet!$A:$A,[1]Sheet!$B:$B,"Not Found")</f>
        <v>Component 36</v>
      </c>
      <c r="L111" s="1" t="str">
        <f>_xlfn.XLOOKUP(C111,[1]Sheet!$A:$A,[1]Sheet!$C:$C,"Not Found")</f>
        <v>Packaging</v>
      </c>
      <c r="M111" s="29">
        <f>_xlfn.XLOOKUP(C111,[1]Sheet!$A:$A,[1]Sheet!$D:$D,"Not Found")</f>
        <v>184</v>
      </c>
      <c r="N111" s="1" t="str">
        <f>_xlfn.XLOOKUP(C111,[1]Sheet!$A:$A,[1]Sheet!$E:$E,"Not Found")</f>
        <v>Central</v>
      </c>
      <c r="O111" s="1">
        <f>_xlfn.XLOOKUP(C111,[1]Sheet!$A:$A,[1]Sheet!$F:$F,"Not Found")</f>
        <v>15</v>
      </c>
      <c r="P111" s="1" t="str">
        <f>_xlfn.XLOOKUP(C111,[1]Sheet!$A:$A,[1]Sheet!$G:$G,"Not Found")</f>
        <v>Medium</v>
      </c>
      <c r="Q111" s="32">
        <f>Table1[[#This Row],[Current Stock]]*Table1[[#This Row],[Unit Cost (Currency)]]</f>
        <v>1288</v>
      </c>
    </row>
    <row r="112" spans="1:27" ht="15" thickBot="1" x14ac:dyDescent="0.35">
      <c r="A112" s="13" t="s">
        <v>165</v>
      </c>
      <c r="B112" s="2">
        <v>46206</v>
      </c>
      <c r="C112" s="1" t="s">
        <v>61</v>
      </c>
      <c r="D112" s="1" t="s">
        <v>12</v>
      </c>
      <c r="E112" s="1" t="s">
        <v>37</v>
      </c>
      <c r="F112" s="1">
        <v>92</v>
      </c>
      <c r="G112" s="1">
        <v>79</v>
      </c>
      <c r="H112" s="1">
        <v>220</v>
      </c>
      <c r="I112" s="1">
        <v>77</v>
      </c>
      <c r="J112" s="14" t="s">
        <v>19</v>
      </c>
      <c r="K112" s="1" t="str">
        <f>_xlfn.XLOOKUP(C112,[1]Sheet!$A:$A,[1]Sheet!$B:$B,"Not Found")</f>
        <v>Component 2</v>
      </c>
      <c r="L112" s="1" t="str">
        <f>_xlfn.XLOOKUP(C112,[1]Sheet!$A:$A,[1]Sheet!$C:$C,"Not Found")</f>
        <v>Packaging</v>
      </c>
      <c r="M112" s="29">
        <f>_xlfn.XLOOKUP(C112,[1]Sheet!$A:$A,[1]Sheet!$D:$D,"Not Found")</f>
        <v>109</v>
      </c>
      <c r="N112" s="1" t="str">
        <f>_xlfn.XLOOKUP(C112,[1]Sheet!$A:$A,[1]Sheet!$E:$E,"Not Found")</f>
        <v>Alpha</v>
      </c>
      <c r="O112" s="1">
        <f>_xlfn.XLOOKUP(C112,[1]Sheet!$A:$A,[1]Sheet!$F:$F,"Not Found")</f>
        <v>10</v>
      </c>
      <c r="P112" s="1" t="str">
        <f>_xlfn.XLOOKUP(C112,[1]Sheet!$A:$A,[1]Sheet!$G:$G,"Not Found")</f>
        <v>Medium</v>
      </c>
      <c r="Q112" s="32">
        <f>Table1[[#This Row],[Current Stock]]*Table1[[#This Row],[Unit Cost (Currency)]]</f>
        <v>23980</v>
      </c>
    </row>
    <row r="113" spans="1:30" ht="14.4" customHeight="1" x14ac:dyDescent="0.3">
      <c r="A113" s="13" t="s">
        <v>166</v>
      </c>
      <c r="B113" s="2">
        <v>46213</v>
      </c>
      <c r="C113" s="1" t="s">
        <v>112</v>
      </c>
      <c r="D113" s="1" t="s">
        <v>26</v>
      </c>
      <c r="E113" s="1" t="s">
        <v>18</v>
      </c>
      <c r="F113" s="1">
        <v>31</v>
      </c>
      <c r="G113" s="1">
        <v>47</v>
      </c>
      <c r="H113" s="1">
        <v>15</v>
      </c>
      <c r="I113" s="1">
        <v>53</v>
      </c>
      <c r="J113" s="14" t="s">
        <v>19</v>
      </c>
      <c r="K113" s="1" t="str">
        <f>_xlfn.XLOOKUP(C113,[1]Sheet!$A:$A,[1]Sheet!$B:$B,"Not Found")</f>
        <v>Component 27</v>
      </c>
      <c r="L113" s="1" t="str">
        <f>_xlfn.XLOOKUP(C113,[1]Sheet!$A:$A,[1]Sheet!$C:$C,"Not Found")</f>
        <v>Mechanical</v>
      </c>
      <c r="M113" s="29">
        <f>_xlfn.XLOOKUP(C113,[1]Sheet!$A:$A,[1]Sheet!$D:$D,"Not Found")</f>
        <v>348</v>
      </c>
      <c r="N113" s="1" t="str">
        <f>_xlfn.XLOOKUP(C113,[1]Sheet!$A:$A,[1]Sheet!$E:$E,"Not Found")</f>
        <v>Bravo</v>
      </c>
      <c r="O113" s="1">
        <f>_xlfn.XLOOKUP(C113,[1]Sheet!$A:$A,[1]Sheet!$F:$F,"Not Found")</f>
        <v>3</v>
      </c>
      <c r="P113" s="1" t="str">
        <f>_xlfn.XLOOKUP(C113,[1]Sheet!$A:$A,[1]Sheet!$G:$G,"Not Found")</f>
        <v>High</v>
      </c>
      <c r="Q113" s="32">
        <f>Table1[[#This Row],[Current Stock]]*Table1[[#This Row],[Unit Cost (Currency)]]</f>
        <v>5220</v>
      </c>
      <c r="S113" s="201" t="s">
        <v>367</v>
      </c>
      <c r="T113" s="202"/>
      <c r="U113" s="202"/>
      <c r="V113" s="202"/>
      <c r="W113" s="202"/>
      <c r="X113" s="202"/>
      <c r="Y113" s="202"/>
      <c r="Z113" s="202"/>
      <c r="AA113" s="202"/>
      <c r="AB113" s="203"/>
      <c r="AD113" s="26"/>
    </row>
    <row r="114" spans="1:30" ht="15" customHeight="1" thickBot="1" x14ac:dyDescent="0.35">
      <c r="A114" s="13" t="s">
        <v>167</v>
      </c>
      <c r="B114" s="2">
        <v>46186</v>
      </c>
      <c r="C114" s="1" t="s">
        <v>42</v>
      </c>
      <c r="D114" s="1" t="s">
        <v>17</v>
      </c>
      <c r="E114" s="1" t="s">
        <v>37</v>
      </c>
      <c r="F114" s="1">
        <v>69</v>
      </c>
      <c r="G114" s="1">
        <v>3</v>
      </c>
      <c r="H114" s="1">
        <v>146</v>
      </c>
      <c r="I114" s="1">
        <v>35</v>
      </c>
      <c r="J114" s="14" t="s">
        <v>14</v>
      </c>
      <c r="K114" s="1" t="str">
        <f>_xlfn.XLOOKUP(C114,[1]Sheet!$A:$A,[1]Sheet!$B:$B,"Not Found")</f>
        <v>Component 19</v>
      </c>
      <c r="L114" s="1" t="str">
        <f>_xlfn.XLOOKUP(C114,[1]Sheet!$A:$A,[1]Sheet!$C:$C,"Not Found")</f>
        <v>Mechanical</v>
      </c>
      <c r="M114" s="29">
        <f>_xlfn.XLOOKUP(C114,[1]Sheet!$A:$A,[1]Sheet!$D:$D,"Not Found")</f>
        <v>239</v>
      </c>
      <c r="N114" s="1" t="str">
        <f>_xlfn.XLOOKUP(C114,[1]Sheet!$A:$A,[1]Sheet!$E:$E,"Not Found")</f>
        <v>Central</v>
      </c>
      <c r="O114" s="1">
        <f>_xlfn.XLOOKUP(C114,[1]Sheet!$A:$A,[1]Sheet!$F:$F,"Not Found")</f>
        <v>28</v>
      </c>
      <c r="P114" s="1" t="str">
        <f>_xlfn.XLOOKUP(C114,[1]Sheet!$A:$A,[1]Sheet!$G:$G,"Not Found")</f>
        <v>High</v>
      </c>
      <c r="Q114" s="32">
        <f>Table1[[#This Row],[Current Stock]]*Table1[[#This Row],[Unit Cost (Currency)]]</f>
        <v>34894</v>
      </c>
      <c r="S114" s="204"/>
      <c r="T114" s="205"/>
      <c r="U114" s="205"/>
      <c r="V114" s="205"/>
      <c r="W114" s="205"/>
      <c r="X114" s="205"/>
      <c r="Y114" s="205"/>
      <c r="Z114" s="205"/>
      <c r="AA114" s="205"/>
      <c r="AB114" s="206"/>
      <c r="AD114" s="26"/>
    </row>
    <row r="115" spans="1:30" ht="14.4" customHeight="1" x14ac:dyDescent="0.3">
      <c r="A115" s="13" t="s">
        <v>168</v>
      </c>
      <c r="B115" s="2">
        <v>46197</v>
      </c>
      <c r="C115" s="1" t="s">
        <v>81</v>
      </c>
      <c r="D115" s="1" t="s">
        <v>12</v>
      </c>
      <c r="E115" s="1" t="s">
        <v>18</v>
      </c>
      <c r="F115" s="1">
        <v>45</v>
      </c>
      <c r="G115" s="1">
        <v>40</v>
      </c>
      <c r="H115" s="1">
        <v>181</v>
      </c>
      <c r="I115" s="1">
        <v>39</v>
      </c>
      <c r="J115" s="14" t="s">
        <v>19</v>
      </c>
      <c r="K115" s="1" t="str">
        <f>_xlfn.XLOOKUP(C115,[1]Sheet!$A:$A,[1]Sheet!$B:$B,"Not Found")</f>
        <v>Component 17</v>
      </c>
      <c r="L115" s="1" t="str">
        <f>_xlfn.XLOOKUP(C115,[1]Sheet!$A:$A,[1]Sheet!$C:$C,"Not Found")</f>
        <v>Safety</v>
      </c>
      <c r="M115" s="29">
        <f>_xlfn.XLOOKUP(C115,[1]Sheet!$A:$A,[1]Sheet!$D:$D,"Not Found")</f>
        <v>285</v>
      </c>
      <c r="N115" s="1" t="str">
        <f>_xlfn.XLOOKUP(C115,[1]Sheet!$A:$A,[1]Sheet!$E:$E,"Not Found")</f>
        <v>Delta</v>
      </c>
      <c r="O115" s="1">
        <f>_xlfn.XLOOKUP(C115,[1]Sheet!$A:$A,[1]Sheet!$F:$F,"Not Found")</f>
        <v>27</v>
      </c>
      <c r="P115" s="1" t="str">
        <f>_xlfn.XLOOKUP(C115,[1]Sheet!$A:$A,[1]Sheet!$G:$G,"Not Found")</f>
        <v>Low</v>
      </c>
      <c r="Q115" s="32">
        <f>Table1[[#This Row],[Current Stock]]*Table1[[#This Row],[Unit Cost (Currency)]]</f>
        <v>51585</v>
      </c>
      <c r="S115" s="166" t="s">
        <v>371</v>
      </c>
      <c r="T115" s="167"/>
      <c r="U115" s="167"/>
      <c r="V115" s="167"/>
      <c r="W115" s="167"/>
      <c r="X115" s="168"/>
      <c r="Y115" s="194">
        <f>SUM(Table1[Inventory Value (Currency)])</f>
        <v>7146817</v>
      </c>
      <c r="Z115" s="195"/>
      <c r="AA115" s="195"/>
      <c r="AB115" s="207"/>
      <c r="AD115" s="26"/>
    </row>
    <row r="116" spans="1:30" ht="14.4" customHeight="1" x14ac:dyDescent="0.3">
      <c r="A116" s="13" t="s">
        <v>169</v>
      </c>
      <c r="B116" s="2">
        <v>46189</v>
      </c>
      <c r="C116" s="1" t="s">
        <v>67</v>
      </c>
      <c r="D116" s="1" t="s">
        <v>26</v>
      </c>
      <c r="E116" s="1" t="s">
        <v>13</v>
      </c>
      <c r="F116" s="1">
        <v>86</v>
      </c>
      <c r="G116" s="1">
        <v>42</v>
      </c>
      <c r="H116" s="1">
        <v>142</v>
      </c>
      <c r="I116" s="1">
        <v>51</v>
      </c>
      <c r="J116" s="14" t="s">
        <v>19</v>
      </c>
      <c r="K116" s="1" t="str">
        <f>_xlfn.XLOOKUP(C116,[1]Sheet!$A:$A,[1]Sheet!$B:$B,"Not Found")</f>
        <v>Component 34</v>
      </c>
      <c r="L116" s="1" t="str">
        <f>_xlfn.XLOOKUP(C116,[1]Sheet!$A:$A,[1]Sheet!$C:$C,"Not Found")</f>
        <v>Electrical</v>
      </c>
      <c r="M116" s="29">
        <f>_xlfn.XLOOKUP(C116,[1]Sheet!$A:$A,[1]Sheet!$D:$D,"Not Found")</f>
        <v>71</v>
      </c>
      <c r="N116" s="1" t="str">
        <f>_xlfn.XLOOKUP(C116,[1]Sheet!$A:$A,[1]Sheet!$E:$E,"Not Found")</f>
        <v>Delta</v>
      </c>
      <c r="O116" s="1">
        <f>_xlfn.XLOOKUP(C116,[1]Sheet!$A:$A,[1]Sheet!$F:$F,"Not Found")</f>
        <v>24</v>
      </c>
      <c r="P116" s="1" t="str">
        <f>_xlfn.XLOOKUP(C116,[1]Sheet!$A:$A,[1]Sheet!$G:$G,"Not Found")</f>
        <v>Medium</v>
      </c>
      <c r="Q116" s="32">
        <f>Table1[[#This Row],[Current Stock]]*Table1[[#This Row],[Unit Cost (Currency)]]</f>
        <v>10082</v>
      </c>
      <c r="S116" s="160"/>
      <c r="T116" s="161"/>
      <c r="U116" s="161"/>
      <c r="V116" s="161"/>
      <c r="W116" s="161"/>
      <c r="X116" s="162"/>
      <c r="Y116" s="183"/>
      <c r="Z116" s="184"/>
      <c r="AA116" s="184"/>
      <c r="AB116" s="208"/>
      <c r="AD116" s="26"/>
    </row>
    <row r="117" spans="1:30" ht="14.4" customHeight="1" x14ac:dyDescent="0.3">
      <c r="A117" s="13" t="s">
        <v>170</v>
      </c>
      <c r="B117" s="2">
        <v>46195</v>
      </c>
      <c r="C117" s="1" t="s">
        <v>157</v>
      </c>
      <c r="D117" s="1" t="s">
        <v>17</v>
      </c>
      <c r="E117" s="1" t="s">
        <v>37</v>
      </c>
      <c r="F117" s="1">
        <v>45</v>
      </c>
      <c r="G117" s="1">
        <v>35</v>
      </c>
      <c r="H117" s="1">
        <v>49</v>
      </c>
      <c r="I117" s="1">
        <v>25</v>
      </c>
      <c r="J117" s="14" t="s">
        <v>14</v>
      </c>
      <c r="K117" s="1" t="str">
        <f>_xlfn.XLOOKUP(C117,[1]Sheet!$A:$A,[1]Sheet!$B:$B,"Not Found")</f>
        <v>Component 28</v>
      </c>
      <c r="L117" s="1" t="str">
        <f>_xlfn.XLOOKUP(C117,[1]Sheet!$A:$A,[1]Sheet!$C:$C,"Not Found")</f>
        <v>Mechanical</v>
      </c>
      <c r="M117" s="29">
        <f>_xlfn.XLOOKUP(C117,[1]Sheet!$A:$A,[1]Sheet!$D:$D,"Not Found")</f>
        <v>463</v>
      </c>
      <c r="N117" s="1" t="str">
        <f>_xlfn.XLOOKUP(C117,[1]Sheet!$A:$A,[1]Sheet!$E:$E,"Not Found")</f>
        <v>Central</v>
      </c>
      <c r="O117" s="1">
        <f>_xlfn.XLOOKUP(C117,[1]Sheet!$A:$A,[1]Sheet!$F:$F,"Not Found")</f>
        <v>22</v>
      </c>
      <c r="P117" s="1" t="str">
        <f>_xlfn.XLOOKUP(C117,[1]Sheet!$A:$A,[1]Sheet!$G:$G,"Not Found")</f>
        <v>Low</v>
      </c>
      <c r="Q117" s="32">
        <f>Table1[[#This Row],[Current Stock]]*Table1[[#This Row],[Unit Cost (Currency)]]</f>
        <v>22687</v>
      </c>
      <c r="S117" s="160" t="s">
        <v>370</v>
      </c>
      <c r="T117" s="161"/>
      <c r="U117" s="161"/>
      <c r="V117" s="161"/>
      <c r="W117" s="161"/>
      <c r="X117" s="162"/>
      <c r="Y117" s="181">
        <f>AVERAGE(Table1[Inventory Value (Currency)])</f>
        <v>35734.084999999999</v>
      </c>
      <c r="Z117" s="182"/>
      <c r="AA117" s="182"/>
      <c r="AB117" s="208"/>
      <c r="AD117" s="26"/>
    </row>
    <row r="118" spans="1:30" ht="14.4" customHeight="1" x14ac:dyDescent="0.3">
      <c r="A118" s="13" t="s">
        <v>171</v>
      </c>
      <c r="B118" s="2">
        <v>46175</v>
      </c>
      <c r="C118" s="1" t="s">
        <v>31</v>
      </c>
      <c r="D118" s="1" t="s">
        <v>17</v>
      </c>
      <c r="E118" s="1" t="s">
        <v>37</v>
      </c>
      <c r="F118" s="1">
        <v>32</v>
      </c>
      <c r="G118" s="1">
        <v>13</v>
      </c>
      <c r="H118" s="1">
        <v>249</v>
      </c>
      <c r="I118" s="1">
        <v>52</v>
      </c>
      <c r="J118" s="14" t="s">
        <v>19</v>
      </c>
      <c r="K118" s="1" t="str">
        <f>_xlfn.XLOOKUP(C118,[1]Sheet!$A:$A,[1]Sheet!$B:$B,"Not Found")</f>
        <v>Component 24</v>
      </c>
      <c r="L118" s="1" t="str">
        <f>_xlfn.XLOOKUP(C118,[1]Sheet!$A:$A,[1]Sheet!$C:$C,"Not Found")</f>
        <v>Packaging</v>
      </c>
      <c r="M118" s="29">
        <f>_xlfn.XLOOKUP(C118,[1]Sheet!$A:$A,[1]Sheet!$D:$D,"Not Found")</f>
        <v>224</v>
      </c>
      <c r="N118" s="1" t="str">
        <f>_xlfn.XLOOKUP(C118,[1]Sheet!$A:$A,[1]Sheet!$E:$E,"Not Found")</f>
        <v>Bravo</v>
      </c>
      <c r="O118" s="1">
        <f>_xlfn.XLOOKUP(C118,[1]Sheet!$A:$A,[1]Sheet!$F:$F,"Not Found")</f>
        <v>12</v>
      </c>
      <c r="P118" s="1" t="str">
        <f>_xlfn.XLOOKUP(C118,[1]Sheet!$A:$A,[1]Sheet!$G:$G,"Not Found")</f>
        <v>Medium</v>
      </c>
      <c r="Q118" s="32">
        <f>Table1[[#This Row],[Current Stock]]*Table1[[#This Row],[Unit Cost (Currency)]]</f>
        <v>55776</v>
      </c>
      <c r="S118" s="160"/>
      <c r="T118" s="161"/>
      <c r="U118" s="161"/>
      <c r="V118" s="161"/>
      <c r="W118" s="161"/>
      <c r="X118" s="162"/>
      <c r="Y118" s="183"/>
      <c r="Z118" s="184"/>
      <c r="AA118" s="184"/>
      <c r="AB118" s="208"/>
      <c r="AD118" s="26"/>
    </row>
    <row r="119" spans="1:30" ht="14.4" customHeight="1" x14ac:dyDescent="0.3">
      <c r="A119" s="13" t="s">
        <v>172</v>
      </c>
      <c r="B119" s="2">
        <v>46177</v>
      </c>
      <c r="C119" s="1" t="s">
        <v>65</v>
      </c>
      <c r="D119" s="1" t="s">
        <v>12</v>
      </c>
      <c r="E119" s="1" t="s">
        <v>18</v>
      </c>
      <c r="F119" s="1">
        <v>45</v>
      </c>
      <c r="G119" s="1">
        <v>58</v>
      </c>
      <c r="H119" s="1">
        <v>133</v>
      </c>
      <c r="I119" s="1">
        <v>59</v>
      </c>
      <c r="J119" s="14" t="s">
        <v>19</v>
      </c>
      <c r="K119" s="1" t="str">
        <f>_xlfn.XLOOKUP(C119,[1]Sheet!$A:$A,[1]Sheet!$B:$B,"Not Found")</f>
        <v>Component 37</v>
      </c>
      <c r="L119" s="1" t="str">
        <f>_xlfn.XLOOKUP(C119,[1]Sheet!$A:$A,[1]Sheet!$C:$C,"Not Found")</f>
        <v>Packaging</v>
      </c>
      <c r="M119" s="29">
        <f>_xlfn.XLOOKUP(C119,[1]Sheet!$A:$A,[1]Sheet!$D:$D,"Not Found")</f>
        <v>186</v>
      </c>
      <c r="N119" s="1" t="str">
        <f>_xlfn.XLOOKUP(C119,[1]Sheet!$A:$A,[1]Sheet!$E:$E,"Not Found")</f>
        <v>Central</v>
      </c>
      <c r="O119" s="1">
        <f>_xlfn.XLOOKUP(C119,[1]Sheet!$A:$A,[1]Sheet!$F:$F,"Not Found")</f>
        <v>19</v>
      </c>
      <c r="P119" s="1" t="str">
        <f>_xlfn.XLOOKUP(C119,[1]Sheet!$A:$A,[1]Sheet!$G:$G,"Not Found")</f>
        <v>Medium</v>
      </c>
      <c r="Q119" s="32">
        <f>Table1[[#This Row],[Current Stock]]*Table1[[#This Row],[Unit Cost (Currency)]]</f>
        <v>24738</v>
      </c>
      <c r="S119" s="160" t="s">
        <v>372</v>
      </c>
      <c r="T119" s="161"/>
      <c r="U119" s="161"/>
      <c r="V119" s="161"/>
      <c r="W119" s="161"/>
      <c r="X119" s="162"/>
      <c r="Y119" s="181">
        <f>COUNTA(Table1[Transaction ID])</f>
        <v>200</v>
      </c>
      <c r="Z119" s="182"/>
      <c r="AA119" s="182"/>
      <c r="AB119" s="208"/>
      <c r="AD119" s="26"/>
    </row>
    <row r="120" spans="1:30" ht="14.4" customHeight="1" x14ac:dyDescent="0.3">
      <c r="A120" s="13" t="s">
        <v>173</v>
      </c>
      <c r="B120" s="2">
        <v>46174</v>
      </c>
      <c r="C120" s="1" t="s">
        <v>109</v>
      </c>
      <c r="D120" s="1" t="s">
        <v>26</v>
      </c>
      <c r="E120" s="1" t="s">
        <v>37</v>
      </c>
      <c r="F120" s="1">
        <v>43</v>
      </c>
      <c r="G120" s="1">
        <v>19</v>
      </c>
      <c r="H120" s="1">
        <v>41</v>
      </c>
      <c r="I120" s="1">
        <v>77</v>
      </c>
      <c r="J120" s="14" t="s">
        <v>19</v>
      </c>
      <c r="K120" s="1" t="str">
        <f>_xlfn.XLOOKUP(C120,[1]Sheet!$A:$A,[1]Sheet!$B:$B,"Not Found")</f>
        <v>Component 35</v>
      </c>
      <c r="L120" s="1" t="str">
        <f>_xlfn.XLOOKUP(C120,[1]Sheet!$A:$A,[1]Sheet!$C:$C,"Not Found")</f>
        <v>Safety</v>
      </c>
      <c r="M120" s="29">
        <f>_xlfn.XLOOKUP(C120,[1]Sheet!$A:$A,[1]Sheet!$D:$D,"Not Found")</f>
        <v>298</v>
      </c>
      <c r="N120" s="1" t="str">
        <f>_xlfn.XLOOKUP(C120,[1]Sheet!$A:$A,[1]Sheet!$E:$E,"Not Found")</f>
        <v>Alpha</v>
      </c>
      <c r="O120" s="1">
        <f>_xlfn.XLOOKUP(C120,[1]Sheet!$A:$A,[1]Sheet!$F:$F,"Not Found")</f>
        <v>6</v>
      </c>
      <c r="P120" s="1" t="str">
        <f>_xlfn.XLOOKUP(C120,[1]Sheet!$A:$A,[1]Sheet!$G:$G,"Not Found")</f>
        <v>Medium</v>
      </c>
      <c r="Q120" s="32">
        <f>Table1[[#This Row],[Current Stock]]*Table1[[#This Row],[Unit Cost (Currency)]]</f>
        <v>12218</v>
      </c>
      <c r="S120" s="160"/>
      <c r="T120" s="161"/>
      <c r="U120" s="161"/>
      <c r="V120" s="161"/>
      <c r="W120" s="161"/>
      <c r="X120" s="162"/>
      <c r="Y120" s="183"/>
      <c r="Z120" s="184"/>
      <c r="AA120" s="184"/>
      <c r="AB120" s="208"/>
      <c r="AD120" s="26"/>
    </row>
    <row r="121" spans="1:30" ht="14.4" customHeight="1" x14ac:dyDescent="0.3">
      <c r="A121" s="13" t="s">
        <v>174</v>
      </c>
      <c r="B121" s="2">
        <v>46185</v>
      </c>
      <c r="C121" s="1" t="s">
        <v>44</v>
      </c>
      <c r="D121" s="1" t="s">
        <v>26</v>
      </c>
      <c r="E121" s="1" t="s">
        <v>18</v>
      </c>
      <c r="F121" s="1">
        <v>41</v>
      </c>
      <c r="G121" s="1">
        <v>6</v>
      </c>
      <c r="H121" s="1">
        <v>227</v>
      </c>
      <c r="I121" s="1">
        <v>38</v>
      </c>
      <c r="J121" s="14" t="s">
        <v>14</v>
      </c>
      <c r="K121" s="1" t="str">
        <f>_xlfn.XLOOKUP(C121,[1]Sheet!$A:$A,[1]Sheet!$B:$B,"Not Found")</f>
        <v>Component 9</v>
      </c>
      <c r="L121" s="1" t="str">
        <f>_xlfn.XLOOKUP(C121,[1]Sheet!$A:$A,[1]Sheet!$C:$C,"Not Found")</f>
        <v>Mechanical</v>
      </c>
      <c r="M121" s="29">
        <f>_xlfn.XLOOKUP(C121,[1]Sheet!$A:$A,[1]Sheet!$D:$D,"Not Found")</f>
        <v>209</v>
      </c>
      <c r="N121" s="1" t="str">
        <f>_xlfn.XLOOKUP(C121,[1]Sheet!$A:$A,[1]Sheet!$E:$E,"Not Found")</f>
        <v>Bravo</v>
      </c>
      <c r="O121" s="1">
        <f>_xlfn.XLOOKUP(C121,[1]Sheet!$A:$A,[1]Sheet!$F:$F,"Not Found")</f>
        <v>10</v>
      </c>
      <c r="P121" s="1" t="str">
        <f>_xlfn.XLOOKUP(C121,[1]Sheet!$A:$A,[1]Sheet!$G:$G,"Not Found")</f>
        <v>Low</v>
      </c>
      <c r="Q121" s="32">
        <f>Table1[[#This Row],[Current Stock]]*Table1[[#This Row],[Unit Cost (Currency)]]</f>
        <v>47443</v>
      </c>
      <c r="S121" s="160" t="s">
        <v>368</v>
      </c>
      <c r="T121" s="161"/>
      <c r="U121" s="161"/>
      <c r="V121" s="161"/>
      <c r="W121" s="161"/>
      <c r="X121" s="162"/>
      <c r="Y121" s="181">
        <f>COUNTA(A126:Q126)</f>
        <v>17</v>
      </c>
      <c r="Z121" s="182"/>
      <c r="AA121" s="182"/>
      <c r="AB121" s="208"/>
    </row>
    <row r="122" spans="1:30" ht="14.4" customHeight="1" x14ac:dyDescent="0.3">
      <c r="A122" s="13" t="s">
        <v>175</v>
      </c>
      <c r="B122" s="2">
        <v>46194</v>
      </c>
      <c r="C122" s="1" t="s">
        <v>31</v>
      </c>
      <c r="D122" s="1" t="s">
        <v>26</v>
      </c>
      <c r="E122" s="1" t="s">
        <v>37</v>
      </c>
      <c r="F122" s="1">
        <v>1</v>
      </c>
      <c r="G122" s="1">
        <v>75</v>
      </c>
      <c r="H122" s="1">
        <v>92</v>
      </c>
      <c r="I122" s="1">
        <v>26</v>
      </c>
      <c r="J122" s="14" t="s">
        <v>19</v>
      </c>
      <c r="K122" s="1" t="str">
        <f>_xlfn.XLOOKUP(C122,[1]Sheet!$A:$A,[1]Sheet!$B:$B,"Not Found")</f>
        <v>Component 24</v>
      </c>
      <c r="L122" s="1" t="str">
        <f>_xlfn.XLOOKUP(C122,[1]Sheet!$A:$A,[1]Sheet!$C:$C,"Not Found")</f>
        <v>Packaging</v>
      </c>
      <c r="M122" s="29">
        <f>_xlfn.XLOOKUP(C122,[1]Sheet!$A:$A,[1]Sheet!$D:$D,"Not Found")</f>
        <v>224</v>
      </c>
      <c r="N122" s="1" t="str">
        <f>_xlfn.XLOOKUP(C122,[1]Sheet!$A:$A,[1]Sheet!$E:$E,"Not Found")</f>
        <v>Bravo</v>
      </c>
      <c r="O122" s="1">
        <f>_xlfn.XLOOKUP(C122,[1]Sheet!$A:$A,[1]Sheet!$F:$F,"Not Found")</f>
        <v>12</v>
      </c>
      <c r="P122" s="1" t="str">
        <f>_xlfn.XLOOKUP(C122,[1]Sheet!$A:$A,[1]Sheet!$G:$G,"Not Found")</f>
        <v>Medium</v>
      </c>
      <c r="Q122" s="32">
        <f>Table1[[#This Row],[Current Stock]]*Table1[[#This Row],[Unit Cost (Currency)]]</f>
        <v>20608</v>
      </c>
      <c r="S122" s="160"/>
      <c r="T122" s="161"/>
      <c r="U122" s="161"/>
      <c r="V122" s="161"/>
      <c r="W122" s="161"/>
      <c r="X122" s="162"/>
      <c r="Y122" s="183"/>
      <c r="Z122" s="184"/>
      <c r="AA122" s="184"/>
      <c r="AB122" s="209"/>
    </row>
    <row r="123" spans="1:30" ht="14.4" customHeight="1" x14ac:dyDescent="0.3">
      <c r="A123" s="13" t="s">
        <v>176</v>
      </c>
      <c r="B123" s="2">
        <v>46189</v>
      </c>
      <c r="C123" s="1" t="s">
        <v>25</v>
      </c>
      <c r="D123" s="1" t="s">
        <v>26</v>
      </c>
      <c r="E123" s="1" t="s">
        <v>37</v>
      </c>
      <c r="F123" s="1">
        <v>34</v>
      </c>
      <c r="G123" s="1">
        <v>33</v>
      </c>
      <c r="H123" s="1">
        <v>164</v>
      </c>
      <c r="I123" s="1">
        <v>73</v>
      </c>
      <c r="J123" s="14" t="s">
        <v>19</v>
      </c>
      <c r="K123" s="1" t="str">
        <f>_xlfn.XLOOKUP(C123,[1]Sheet!$A:$A,[1]Sheet!$B:$B,"Not Found")</f>
        <v>Component 40</v>
      </c>
      <c r="L123" s="1" t="str">
        <f>_xlfn.XLOOKUP(C123,[1]Sheet!$A:$A,[1]Sheet!$C:$C,"Not Found")</f>
        <v>Mechanical</v>
      </c>
      <c r="M123" s="29">
        <f>_xlfn.XLOOKUP(C123,[1]Sheet!$A:$A,[1]Sheet!$D:$D,"Not Found")</f>
        <v>180</v>
      </c>
      <c r="N123" s="1" t="str">
        <f>_xlfn.XLOOKUP(C123,[1]Sheet!$A:$A,[1]Sheet!$E:$E,"Not Found")</f>
        <v>Central</v>
      </c>
      <c r="O123" s="1">
        <f>_xlfn.XLOOKUP(C123,[1]Sheet!$A:$A,[1]Sheet!$F:$F,"Not Found")</f>
        <v>19</v>
      </c>
      <c r="P123" s="1" t="str">
        <f>_xlfn.XLOOKUP(C123,[1]Sheet!$A:$A,[1]Sheet!$G:$G,"Not Found")</f>
        <v>Medium</v>
      </c>
      <c r="Q123" s="32">
        <f>Table1[[#This Row],[Current Stock]]*Table1[[#This Row],[Unit Cost (Currency)]]</f>
        <v>29520</v>
      </c>
      <c r="S123" s="160" t="s">
        <v>373</v>
      </c>
      <c r="T123" s="161"/>
      <c r="U123" s="161"/>
      <c r="V123" s="161"/>
      <c r="W123" s="161"/>
      <c r="X123" s="162"/>
      <c r="Y123" s="196" t="s">
        <v>396</v>
      </c>
      <c r="Z123" s="197"/>
      <c r="AA123" s="197"/>
      <c r="AB123" s="193">
        <v>0.35599999999999998</v>
      </c>
    </row>
    <row r="124" spans="1:30" ht="14.4" customHeight="1" x14ac:dyDescent="0.3">
      <c r="A124" s="13" t="s">
        <v>177</v>
      </c>
      <c r="B124" s="2">
        <v>46179</v>
      </c>
      <c r="C124" s="1" t="s">
        <v>157</v>
      </c>
      <c r="D124" s="1" t="s">
        <v>12</v>
      </c>
      <c r="E124" s="1" t="s">
        <v>13</v>
      </c>
      <c r="F124" s="1">
        <v>34</v>
      </c>
      <c r="G124" s="1">
        <v>24</v>
      </c>
      <c r="H124" s="1">
        <v>147</v>
      </c>
      <c r="I124" s="1">
        <v>71</v>
      </c>
      <c r="J124" s="14" t="s">
        <v>14</v>
      </c>
      <c r="K124" s="1" t="str">
        <f>_xlfn.XLOOKUP(C124,[1]Sheet!$A:$A,[1]Sheet!$B:$B,"Not Found")</f>
        <v>Component 28</v>
      </c>
      <c r="L124" s="1" t="str">
        <f>_xlfn.XLOOKUP(C124,[1]Sheet!$A:$A,[1]Sheet!$C:$C,"Not Found")</f>
        <v>Mechanical</v>
      </c>
      <c r="M124" s="29">
        <f>_xlfn.XLOOKUP(C124,[1]Sheet!$A:$A,[1]Sheet!$D:$D,"Not Found")</f>
        <v>463</v>
      </c>
      <c r="N124" s="1" t="str">
        <f>_xlfn.XLOOKUP(C124,[1]Sheet!$A:$A,[1]Sheet!$E:$E,"Not Found")</f>
        <v>Central</v>
      </c>
      <c r="O124" s="1">
        <f>_xlfn.XLOOKUP(C124,[1]Sheet!$A:$A,[1]Sheet!$F:$F,"Not Found")</f>
        <v>22</v>
      </c>
      <c r="P124" s="1" t="str">
        <f>_xlfn.XLOOKUP(C124,[1]Sheet!$A:$A,[1]Sheet!$G:$G,"Not Found")</f>
        <v>Low</v>
      </c>
      <c r="Q124" s="32">
        <f>Table1[[#This Row],[Current Stock]]*Table1[[#This Row],[Unit Cost (Currency)]]</f>
        <v>68061</v>
      </c>
      <c r="S124" s="160"/>
      <c r="T124" s="161"/>
      <c r="U124" s="161"/>
      <c r="V124" s="161"/>
      <c r="W124" s="161"/>
      <c r="X124" s="162"/>
      <c r="Y124" s="198"/>
      <c r="Z124" s="199"/>
      <c r="AA124" s="199"/>
      <c r="AB124" s="170"/>
    </row>
    <row r="125" spans="1:30" ht="14.4" customHeight="1" x14ac:dyDescent="0.3">
      <c r="A125" s="13" t="s">
        <v>178</v>
      </c>
      <c r="B125" s="2">
        <v>46207</v>
      </c>
      <c r="C125" s="1" t="s">
        <v>11</v>
      </c>
      <c r="D125" s="1" t="s">
        <v>12</v>
      </c>
      <c r="E125" s="1" t="s">
        <v>18</v>
      </c>
      <c r="F125" s="1">
        <v>2</v>
      </c>
      <c r="G125" s="1">
        <v>14</v>
      </c>
      <c r="H125" s="1">
        <v>173</v>
      </c>
      <c r="I125" s="1">
        <v>34</v>
      </c>
      <c r="J125" s="14" t="s">
        <v>14</v>
      </c>
      <c r="K125" s="1" t="str">
        <f>_xlfn.XLOOKUP(C125,[1]Sheet!$A:$A,[1]Sheet!$B:$B,"Not Found")</f>
        <v>Component 21</v>
      </c>
      <c r="L125" s="1" t="str">
        <f>_xlfn.XLOOKUP(C125,[1]Sheet!$A:$A,[1]Sheet!$C:$C,"Not Found")</f>
        <v>Packaging</v>
      </c>
      <c r="M125" s="29">
        <f>_xlfn.XLOOKUP(C125,[1]Sheet!$A:$A,[1]Sheet!$D:$D,"Not Found")</f>
        <v>313</v>
      </c>
      <c r="N125" s="1" t="str">
        <f>_xlfn.XLOOKUP(C125,[1]Sheet!$A:$A,[1]Sheet!$E:$E,"Not Found")</f>
        <v>Delta</v>
      </c>
      <c r="O125" s="1">
        <f>_xlfn.XLOOKUP(C125,[1]Sheet!$A:$A,[1]Sheet!$F:$F,"Not Found")</f>
        <v>13</v>
      </c>
      <c r="P125" s="1" t="str">
        <f>_xlfn.XLOOKUP(C125,[1]Sheet!$A:$A,[1]Sheet!$G:$G,"Not Found")</f>
        <v>High</v>
      </c>
      <c r="Q125" s="32">
        <f>Table1[[#This Row],[Current Stock]]*Table1[[#This Row],[Unit Cost (Currency)]]</f>
        <v>54149</v>
      </c>
      <c r="S125" s="160" t="s">
        <v>374</v>
      </c>
      <c r="T125" s="161"/>
      <c r="U125" s="161"/>
      <c r="V125" s="161"/>
      <c r="W125" s="161"/>
      <c r="X125" s="162"/>
      <c r="Y125" s="210" t="s">
        <v>397</v>
      </c>
      <c r="Z125" s="211"/>
      <c r="AA125" s="211"/>
      <c r="AB125" s="193">
        <v>0.29360000000000003</v>
      </c>
    </row>
    <row r="126" spans="1:30" ht="14.4" customHeight="1" x14ac:dyDescent="0.3">
      <c r="A126" s="13" t="s">
        <v>179</v>
      </c>
      <c r="B126" s="2">
        <v>46212</v>
      </c>
      <c r="C126" s="1" t="s">
        <v>40</v>
      </c>
      <c r="D126" s="1" t="s">
        <v>17</v>
      </c>
      <c r="E126" s="1" t="s">
        <v>18</v>
      </c>
      <c r="F126" s="1">
        <v>86</v>
      </c>
      <c r="G126" s="1">
        <v>23</v>
      </c>
      <c r="H126" s="1">
        <v>150</v>
      </c>
      <c r="I126" s="1">
        <v>80</v>
      </c>
      <c r="J126" s="14" t="s">
        <v>19</v>
      </c>
      <c r="K126" s="1" t="str">
        <f>_xlfn.XLOOKUP(C126,[1]Sheet!$A:$A,[1]Sheet!$B:$B,"Not Found")</f>
        <v>Component 18</v>
      </c>
      <c r="L126" s="1" t="str">
        <f>_xlfn.XLOOKUP(C126,[1]Sheet!$A:$A,[1]Sheet!$C:$C,"Not Found")</f>
        <v>Safety</v>
      </c>
      <c r="M126" s="29">
        <f>_xlfn.XLOOKUP(C126,[1]Sheet!$A:$A,[1]Sheet!$D:$D,"Not Found")</f>
        <v>8</v>
      </c>
      <c r="N126" s="1" t="str">
        <f>_xlfn.XLOOKUP(C126,[1]Sheet!$A:$A,[1]Sheet!$E:$E,"Not Found")</f>
        <v>Central</v>
      </c>
      <c r="O126" s="1">
        <f>_xlfn.XLOOKUP(C126,[1]Sheet!$A:$A,[1]Sheet!$F:$F,"Not Found")</f>
        <v>19</v>
      </c>
      <c r="P126" s="1" t="str">
        <f>_xlfn.XLOOKUP(C126,[1]Sheet!$A:$A,[1]Sheet!$G:$G,"Not Found")</f>
        <v>High</v>
      </c>
      <c r="Q126" s="32">
        <f>Table1[[#This Row],[Current Stock]]*Table1[[#This Row],[Unit Cost (Currency)]]</f>
        <v>1200</v>
      </c>
      <c r="S126" s="160"/>
      <c r="T126" s="161"/>
      <c r="U126" s="161"/>
      <c r="V126" s="161"/>
      <c r="W126" s="161"/>
      <c r="X126" s="162"/>
      <c r="Y126" s="212"/>
      <c r="Z126" s="213"/>
      <c r="AA126" s="213"/>
      <c r="AB126" s="170"/>
    </row>
    <row r="127" spans="1:30" ht="14.4" customHeight="1" x14ac:dyDescent="0.3">
      <c r="A127" s="13" t="s">
        <v>180</v>
      </c>
      <c r="B127" s="2">
        <v>46185</v>
      </c>
      <c r="C127" s="1" t="s">
        <v>42</v>
      </c>
      <c r="D127" s="1" t="s">
        <v>12</v>
      </c>
      <c r="E127" s="1" t="s">
        <v>37</v>
      </c>
      <c r="F127" s="1">
        <v>46</v>
      </c>
      <c r="G127" s="1">
        <v>12</v>
      </c>
      <c r="H127" s="1">
        <v>188</v>
      </c>
      <c r="I127" s="1">
        <v>72</v>
      </c>
      <c r="J127" s="14" t="s">
        <v>19</v>
      </c>
      <c r="K127" s="1" t="str">
        <f>_xlfn.XLOOKUP(C127,[1]Sheet!$A:$A,[1]Sheet!$B:$B,"Not Found")</f>
        <v>Component 19</v>
      </c>
      <c r="L127" s="1" t="str">
        <f>_xlfn.XLOOKUP(C127,[1]Sheet!$A:$A,[1]Sheet!$C:$C,"Not Found")</f>
        <v>Mechanical</v>
      </c>
      <c r="M127" s="29">
        <f>_xlfn.XLOOKUP(C127,[1]Sheet!$A:$A,[1]Sheet!$D:$D,"Not Found")</f>
        <v>239</v>
      </c>
      <c r="N127" s="1" t="str">
        <f>_xlfn.XLOOKUP(C127,[1]Sheet!$A:$A,[1]Sheet!$E:$E,"Not Found")</f>
        <v>Central</v>
      </c>
      <c r="O127" s="1">
        <f>_xlfn.XLOOKUP(C127,[1]Sheet!$A:$A,[1]Sheet!$F:$F,"Not Found")</f>
        <v>28</v>
      </c>
      <c r="P127" s="1" t="str">
        <f>_xlfn.XLOOKUP(C127,[1]Sheet!$A:$A,[1]Sheet!$G:$G,"Not Found")</f>
        <v>High</v>
      </c>
      <c r="Q127" s="32">
        <f>Table1[[#This Row],[Current Stock]]*Table1[[#This Row],[Unit Cost (Currency)]]</f>
        <v>44932</v>
      </c>
      <c r="S127" s="163" t="s">
        <v>387</v>
      </c>
      <c r="T127" s="164"/>
      <c r="U127" s="164"/>
      <c r="V127" s="164"/>
      <c r="W127" s="164"/>
      <c r="X127" s="165"/>
      <c r="Y127" s="180" t="s">
        <v>388</v>
      </c>
      <c r="Z127" s="177"/>
      <c r="AA127" s="177"/>
      <c r="AB127" s="169">
        <v>0.18</v>
      </c>
    </row>
    <row r="128" spans="1:30" ht="14.4" customHeight="1" x14ac:dyDescent="0.3">
      <c r="A128" s="13" t="s">
        <v>181</v>
      </c>
      <c r="B128" s="2">
        <v>46196</v>
      </c>
      <c r="C128" s="1" t="s">
        <v>83</v>
      </c>
      <c r="D128" s="1" t="s">
        <v>17</v>
      </c>
      <c r="E128" s="1" t="s">
        <v>37</v>
      </c>
      <c r="F128" s="1">
        <v>107</v>
      </c>
      <c r="G128" s="1">
        <v>81</v>
      </c>
      <c r="H128" s="1">
        <v>76</v>
      </c>
      <c r="I128" s="1">
        <v>55</v>
      </c>
      <c r="J128" s="14" t="s">
        <v>14</v>
      </c>
      <c r="K128" s="1" t="str">
        <f>_xlfn.XLOOKUP(C128,[1]Sheet!$A:$A,[1]Sheet!$B:$B,"Not Found")</f>
        <v>Component 7</v>
      </c>
      <c r="L128" s="1" t="str">
        <f>_xlfn.XLOOKUP(C128,[1]Sheet!$A:$A,[1]Sheet!$C:$C,"Not Found")</f>
        <v>Electrical</v>
      </c>
      <c r="M128" s="29">
        <f>_xlfn.XLOOKUP(C128,[1]Sheet!$A:$A,[1]Sheet!$D:$D,"Not Found")</f>
        <v>374</v>
      </c>
      <c r="N128" s="1" t="str">
        <f>_xlfn.XLOOKUP(C128,[1]Sheet!$A:$A,[1]Sheet!$E:$E,"Not Found")</f>
        <v>Bravo</v>
      </c>
      <c r="O128" s="1">
        <f>_xlfn.XLOOKUP(C128,[1]Sheet!$A:$A,[1]Sheet!$F:$F,"Not Found")</f>
        <v>5</v>
      </c>
      <c r="P128" s="1" t="str">
        <f>_xlfn.XLOOKUP(C128,[1]Sheet!$A:$A,[1]Sheet!$G:$G,"Not Found")</f>
        <v>Low</v>
      </c>
      <c r="Q128" s="32">
        <f>Table1[[#This Row],[Current Stock]]*Table1[[#This Row],[Unit Cost (Currency)]]</f>
        <v>28424</v>
      </c>
      <c r="S128" s="163"/>
      <c r="T128" s="164"/>
      <c r="U128" s="164"/>
      <c r="V128" s="164"/>
      <c r="W128" s="164"/>
      <c r="X128" s="165"/>
      <c r="Y128" s="178"/>
      <c r="Z128" s="179"/>
      <c r="AA128" s="179"/>
      <c r="AB128" s="170"/>
    </row>
    <row r="129" spans="1:28" ht="14.4" customHeight="1" x14ac:dyDescent="0.3">
      <c r="A129" s="13" t="s">
        <v>182</v>
      </c>
      <c r="B129" s="2">
        <v>46211</v>
      </c>
      <c r="C129" s="1" t="s">
        <v>81</v>
      </c>
      <c r="D129" s="1" t="s">
        <v>17</v>
      </c>
      <c r="E129" s="1" t="s">
        <v>37</v>
      </c>
      <c r="F129" s="1">
        <v>111</v>
      </c>
      <c r="G129" s="1">
        <v>87</v>
      </c>
      <c r="H129" s="1">
        <v>213</v>
      </c>
      <c r="I129" s="1">
        <v>20</v>
      </c>
      <c r="J129" s="14" t="s">
        <v>19</v>
      </c>
      <c r="K129" s="1" t="str">
        <f>_xlfn.XLOOKUP(C129,[1]Sheet!$A:$A,[1]Sheet!$B:$B,"Not Found")</f>
        <v>Component 17</v>
      </c>
      <c r="L129" s="1" t="str">
        <f>_xlfn.XLOOKUP(C129,[1]Sheet!$A:$A,[1]Sheet!$C:$C,"Not Found")</f>
        <v>Safety</v>
      </c>
      <c r="M129" s="29">
        <f>_xlfn.XLOOKUP(C129,[1]Sheet!$A:$A,[1]Sheet!$D:$D,"Not Found")</f>
        <v>285</v>
      </c>
      <c r="N129" s="1" t="str">
        <f>_xlfn.XLOOKUP(C129,[1]Sheet!$A:$A,[1]Sheet!$E:$E,"Not Found")</f>
        <v>Delta</v>
      </c>
      <c r="O129" s="1">
        <f>_xlfn.XLOOKUP(C129,[1]Sheet!$A:$A,[1]Sheet!$F:$F,"Not Found")</f>
        <v>27</v>
      </c>
      <c r="P129" s="1" t="str">
        <f>_xlfn.XLOOKUP(C129,[1]Sheet!$A:$A,[1]Sheet!$G:$G,"Not Found")</f>
        <v>Low</v>
      </c>
      <c r="Q129" s="32">
        <f>Table1[[#This Row],[Current Stock]]*Table1[[#This Row],[Unit Cost (Currency)]]</f>
        <v>60705</v>
      </c>
      <c r="S129" s="160" t="s">
        <v>383</v>
      </c>
      <c r="T129" s="161"/>
      <c r="U129" s="161"/>
      <c r="V129" s="161"/>
      <c r="W129" s="161"/>
      <c r="X129" s="162"/>
      <c r="Y129" s="176">
        <v>9</v>
      </c>
      <c r="Z129" s="177"/>
      <c r="AA129" s="177"/>
      <c r="AB129" s="193">
        <v>6.5199999999999994E-2</v>
      </c>
    </row>
    <row r="130" spans="1:28" ht="15" customHeight="1" x14ac:dyDescent="0.3">
      <c r="A130" s="13" t="s">
        <v>183</v>
      </c>
      <c r="B130" s="2">
        <v>46206</v>
      </c>
      <c r="C130" s="1" t="s">
        <v>42</v>
      </c>
      <c r="D130" s="1" t="s">
        <v>17</v>
      </c>
      <c r="E130" s="1" t="s">
        <v>37</v>
      </c>
      <c r="F130" s="1">
        <v>32</v>
      </c>
      <c r="G130" s="1">
        <v>56</v>
      </c>
      <c r="H130" s="1">
        <v>205</v>
      </c>
      <c r="I130" s="1">
        <v>52</v>
      </c>
      <c r="J130" s="14" t="s">
        <v>14</v>
      </c>
      <c r="K130" s="1" t="str">
        <f>_xlfn.XLOOKUP(C130,[1]Sheet!$A:$A,[1]Sheet!$B:$B,"Not Found")</f>
        <v>Component 19</v>
      </c>
      <c r="L130" s="1" t="str">
        <f>_xlfn.XLOOKUP(C130,[1]Sheet!$A:$A,[1]Sheet!$C:$C,"Not Found")</f>
        <v>Mechanical</v>
      </c>
      <c r="M130" s="29">
        <f>_xlfn.XLOOKUP(C130,[1]Sheet!$A:$A,[1]Sheet!$D:$D,"Not Found")</f>
        <v>239</v>
      </c>
      <c r="N130" s="1" t="str">
        <f>_xlfn.XLOOKUP(C130,[1]Sheet!$A:$A,[1]Sheet!$E:$E,"Not Found")</f>
        <v>Central</v>
      </c>
      <c r="O130" s="1">
        <f>_xlfn.XLOOKUP(C130,[1]Sheet!$A:$A,[1]Sheet!$F:$F,"Not Found")</f>
        <v>28</v>
      </c>
      <c r="P130" s="1" t="str">
        <f>_xlfn.XLOOKUP(C130,[1]Sheet!$A:$A,[1]Sheet!$G:$G,"Not Found")</f>
        <v>High</v>
      </c>
      <c r="Q130" s="32">
        <f>Table1[[#This Row],[Current Stock]]*Table1[[#This Row],[Unit Cost (Currency)]]</f>
        <v>48995</v>
      </c>
      <c r="S130" s="160"/>
      <c r="T130" s="161"/>
      <c r="U130" s="161"/>
      <c r="V130" s="161"/>
      <c r="W130" s="161"/>
      <c r="X130" s="162"/>
      <c r="Y130" s="178"/>
      <c r="Z130" s="179"/>
      <c r="AA130" s="179"/>
      <c r="AB130" s="170"/>
    </row>
    <row r="131" spans="1:28" ht="16.8" customHeight="1" x14ac:dyDescent="0.3">
      <c r="A131" s="13" t="s">
        <v>184</v>
      </c>
      <c r="B131" s="2">
        <v>46199</v>
      </c>
      <c r="C131" s="1" t="s">
        <v>21</v>
      </c>
      <c r="D131" s="1" t="s">
        <v>26</v>
      </c>
      <c r="E131" s="1" t="s">
        <v>18</v>
      </c>
      <c r="F131" s="1">
        <v>28</v>
      </c>
      <c r="G131" s="1">
        <v>0</v>
      </c>
      <c r="H131" s="1">
        <v>116</v>
      </c>
      <c r="I131" s="1">
        <v>26</v>
      </c>
      <c r="J131" s="14" t="s">
        <v>19</v>
      </c>
      <c r="K131" s="1" t="str">
        <f>_xlfn.XLOOKUP(C131,[1]Sheet!$A:$A,[1]Sheet!$B:$B,"Not Found")</f>
        <v>Component 3</v>
      </c>
      <c r="L131" s="1" t="str">
        <f>_xlfn.XLOOKUP(C131,[1]Sheet!$A:$A,[1]Sheet!$C:$C,"Not Found")</f>
        <v>Electrical</v>
      </c>
      <c r="M131" s="29">
        <f>_xlfn.XLOOKUP(C131,[1]Sheet!$A:$A,[1]Sheet!$D:$D,"Not Found")</f>
        <v>246</v>
      </c>
      <c r="N131" s="1" t="str">
        <f>_xlfn.XLOOKUP(C131,[1]Sheet!$A:$A,[1]Sheet!$E:$E,"Not Found")</f>
        <v>Delta</v>
      </c>
      <c r="O131" s="1">
        <f>_xlfn.XLOOKUP(C131,[1]Sheet!$A:$A,[1]Sheet!$F:$F,"Not Found")</f>
        <v>30</v>
      </c>
      <c r="P131" s="1" t="str">
        <f>_xlfn.XLOOKUP(C131,[1]Sheet!$A:$A,[1]Sheet!$G:$G,"Not Found")</f>
        <v>High</v>
      </c>
      <c r="Q131" s="32">
        <f>Table1[[#This Row],[Current Stock]]*Table1[[#This Row],[Unit Cost (Currency)]]</f>
        <v>28536</v>
      </c>
      <c r="S131" s="154" t="s">
        <v>375</v>
      </c>
      <c r="T131" s="155"/>
      <c r="U131" s="155"/>
      <c r="V131" s="155"/>
      <c r="W131" s="155"/>
      <c r="X131" s="156"/>
      <c r="Y131" s="214" t="s">
        <v>393</v>
      </c>
      <c r="Z131" s="215"/>
      <c r="AA131" s="215"/>
      <c r="AB131" s="193">
        <v>0.50060000000000004</v>
      </c>
    </row>
    <row r="132" spans="1:28" ht="19.2" customHeight="1" x14ac:dyDescent="0.3">
      <c r="A132" s="13" t="s">
        <v>185</v>
      </c>
      <c r="B132" s="2">
        <v>46195</v>
      </c>
      <c r="C132" s="1" t="s">
        <v>67</v>
      </c>
      <c r="D132" s="1" t="s">
        <v>17</v>
      </c>
      <c r="E132" s="1" t="s">
        <v>13</v>
      </c>
      <c r="F132" s="1">
        <v>47</v>
      </c>
      <c r="G132" s="1">
        <v>49</v>
      </c>
      <c r="H132" s="1">
        <v>71</v>
      </c>
      <c r="I132" s="1">
        <v>70</v>
      </c>
      <c r="J132" s="14" t="s">
        <v>14</v>
      </c>
      <c r="K132" s="1" t="str">
        <f>_xlfn.XLOOKUP(C132,[1]Sheet!$A:$A,[1]Sheet!$B:$B,"Not Found")</f>
        <v>Component 34</v>
      </c>
      <c r="L132" s="1" t="str">
        <f>_xlfn.XLOOKUP(C132,[1]Sheet!$A:$A,[1]Sheet!$C:$C,"Not Found")</f>
        <v>Electrical</v>
      </c>
      <c r="M132" s="29">
        <f>_xlfn.XLOOKUP(C132,[1]Sheet!$A:$A,[1]Sheet!$D:$D,"Not Found")</f>
        <v>71</v>
      </c>
      <c r="N132" s="1" t="str">
        <f>_xlfn.XLOOKUP(C132,[1]Sheet!$A:$A,[1]Sheet!$E:$E,"Not Found")</f>
        <v>Delta</v>
      </c>
      <c r="O132" s="1">
        <f>_xlfn.XLOOKUP(C132,[1]Sheet!$A:$A,[1]Sheet!$F:$F,"Not Found")</f>
        <v>24</v>
      </c>
      <c r="P132" s="1" t="str">
        <f>_xlfn.XLOOKUP(C132,[1]Sheet!$A:$A,[1]Sheet!$G:$G,"Not Found")</f>
        <v>Medium</v>
      </c>
      <c r="Q132" s="32">
        <f>Table1[[#This Row],[Current Stock]]*Table1[[#This Row],[Unit Cost (Currency)]]</f>
        <v>5041</v>
      </c>
      <c r="S132" s="154"/>
      <c r="T132" s="155"/>
      <c r="U132" s="155"/>
      <c r="V132" s="155"/>
      <c r="W132" s="155"/>
      <c r="X132" s="156"/>
      <c r="Y132" s="216"/>
      <c r="Z132" s="217"/>
      <c r="AA132" s="217"/>
      <c r="AB132" s="170"/>
    </row>
    <row r="133" spans="1:28" ht="14.4" customHeight="1" x14ac:dyDescent="0.3">
      <c r="A133" s="13" t="s">
        <v>186</v>
      </c>
      <c r="B133" s="2">
        <v>46179</v>
      </c>
      <c r="C133" s="1" t="s">
        <v>109</v>
      </c>
      <c r="D133" s="1" t="s">
        <v>12</v>
      </c>
      <c r="E133" s="1" t="s">
        <v>13</v>
      </c>
      <c r="F133" s="1">
        <v>3</v>
      </c>
      <c r="G133" s="1">
        <v>0</v>
      </c>
      <c r="H133" s="1">
        <v>47</v>
      </c>
      <c r="I133" s="1">
        <v>73</v>
      </c>
      <c r="J133" s="14" t="s">
        <v>19</v>
      </c>
      <c r="K133" s="1" t="str">
        <f>_xlfn.XLOOKUP(C133,[1]Sheet!$A:$A,[1]Sheet!$B:$B,"Not Found")</f>
        <v>Component 35</v>
      </c>
      <c r="L133" s="1" t="str">
        <f>_xlfn.XLOOKUP(C133,[1]Sheet!$A:$A,[1]Sheet!$C:$C,"Not Found")</f>
        <v>Safety</v>
      </c>
      <c r="M133" s="29">
        <f>_xlfn.XLOOKUP(C133,[1]Sheet!$A:$A,[1]Sheet!$D:$D,"Not Found")</f>
        <v>298</v>
      </c>
      <c r="N133" s="1" t="str">
        <f>_xlfn.XLOOKUP(C133,[1]Sheet!$A:$A,[1]Sheet!$E:$E,"Not Found")</f>
        <v>Alpha</v>
      </c>
      <c r="O133" s="1">
        <f>_xlfn.XLOOKUP(C133,[1]Sheet!$A:$A,[1]Sheet!$F:$F,"Not Found")</f>
        <v>6</v>
      </c>
      <c r="P133" s="1" t="str">
        <f>_xlfn.XLOOKUP(C133,[1]Sheet!$A:$A,[1]Sheet!$G:$G,"Not Found")</f>
        <v>Medium</v>
      </c>
      <c r="Q133" s="32">
        <f>Table1[[#This Row],[Current Stock]]*Table1[[#This Row],[Unit Cost (Currency)]]</f>
        <v>14006</v>
      </c>
      <c r="S133" s="154" t="s">
        <v>384</v>
      </c>
      <c r="T133" s="155"/>
      <c r="U133" s="155"/>
      <c r="V133" s="155"/>
      <c r="W133" s="155"/>
      <c r="X133" s="156"/>
      <c r="Y133" s="176">
        <v>70</v>
      </c>
      <c r="Z133" s="177"/>
      <c r="AA133" s="177"/>
      <c r="AB133" s="169">
        <v>0.35</v>
      </c>
    </row>
    <row r="134" spans="1:28" ht="14.4" customHeight="1" x14ac:dyDescent="0.3">
      <c r="A134" s="13" t="s">
        <v>187</v>
      </c>
      <c r="B134" s="2">
        <v>46203</v>
      </c>
      <c r="C134" s="1" t="s">
        <v>33</v>
      </c>
      <c r="D134" s="1" t="s">
        <v>12</v>
      </c>
      <c r="E134" s="1" t="s">
        <v>13</v>
      </c>
      <c r="F134" s="1">
        <v>19</v>
      </c>
      <c r="G134" s="1">
        <v>28</v>
      </c>
      <c r="H134" s="1">
        <v>21</v>
      </c>
      <c r="I134" s="1">
        <v>44</v>
      </c>
      <c r="J134" s="14" t="s">
        <v>19</v>
      </c>
      <c r="K134" s="1" t="str">
        <f>_xlfn.XLOOKUP(C134,[1]Sheet!$A:$A,[1]Sheet!$B:$B,"Not Found")</f>
        <v>Component 10</v>
      </c>
      <c r="L134" s="1" t="str">
        <f>_xlfn.XLOOKUP(C134,[1]Sheet!$A:$A,[1]Sheet!$C:$C,"Not Found")</f>
        <v>Packaging</v>
      </c>
      <c r="M134" s="29">
        <f>_xlfn.XLOOKUP(C134,[1]Sheet!$A:$A,[1]Sheet!$D:$D,"Not Found")</f>
        <v>90</v>
      </c>
      <c r="N134" s="1" t="str">
        <f>_xlfn.XLOOKUP(C134,[1]Sheet!$A:$A,[1]Sheet!$E:$E,"Not Found")</f>
        <v>Central</v>
      </c>
      <c r="O134" s="1">
        <f>_xlfn.XLOOKUP(C134,[1]Sheet!$A:$A,[1]Sheet!$F:$F,"Not Found")</f>
        <v>7</v>
      </c>
      <c r="P134" s="1" t="str">
        <f>_xlfn.XLOOKUP(C134,[1]Sheet!$A:$A,[1]Sheet!$G:$G,"Not Found")</f>
        <v>Medium</v>
      </c>
      <c r="Q134" s="32">
        <f>Table1[[#This Row],[Current Stock]]*Table1[[#This Row],[Unit Cost (Currency)]]</f>
        <v>1890</v>
      </c>
      <c r="S134" s="154"/>
      <c r="T134" s="155"/>
      <c r="U134" s="155"/>
      <c r="V134" s="155"/>
      <c r="W134" s="155"/>
      <c r="X134" s="156"/>
      <c r="Y134" s="178"/>
      <c r="Z134" s="179"/>
      <c r="AA134" s="179"/>
      <c r="AB134" s="170"/>
    </row>
    <row r="135" spans="1:28" ht="14.4" customHeight="1" x14ac:dyDescent="0.3">
      <c r="A135" s="13" t="s">
        <v>188</v>
      </c>
      <c r="B135" s="2">
        <v>46181</v>
      </c>
      <c r="C135" s="1" t="s">
        <v>112</v>
      </c>
      <c r="D135" s="1" t="s">
        <v>26</v>
      </c>
      <c r="E135" s="1" t="s">
        <v>13</v>
      </c>
      <c r="F135" s="1">
        <v>21</v>
      </c>
      <c r="G135" s="1">
        <v>69</v>
      </c>
      <c r="H135" s="1">
        <v>230</v>
      </c>
      <c r="I135" s="1">
        <v>35</v>
      </c>
      <c r="J135" s="14" t="s">
        <v>14</v>
      </c>
      <c r="K135" s="1" t="str">
        <f>_xlfn.XLOOKUP(C135,[1]Sheet!$A:$A,[1]Sheet!$B:$B,"Not Found")</f>
        <v>Component 27</v>
      </c>
      <c r="L135" s="1" t="str">
        <f>_xlfn.XLOOKUP(C135,[1]Sheet!$A:$A,[1]Sheet!$C:$C,"Not Found")</f>
        <v>Mechanical</v>
      </c>
      <c r="M135" s="29">
        <f>_xlfn.XLOOKUP(C135,[1]Sheet!$A:$A,[1]Sheet!$D:$D,"Not Found")</f>
        <v>348</v>
      </c>
      <c r="N135" s="1" t="str">
        <f>_xlfn.XLOOKUP(C135,[1]Sheet!$A:$A,[1]Sheet!$E:$E,"Not Found")</f>
        <v>Bravo</v>
      </c>
      <c r="O135" s="1">
        <f>_xlfn.XLOOKUP(C135,[1]Sheet!$A:$A,[1]Sheet!$F:$F,"Not Found")</f>
        <v>3</v>
      </c>
      <c r="P135" s="1" t="str">
        <f>_xlfn.XLOOKUP(C135,[1]Sheet!$A:$A,[1]Sheet!$G:$G,"Not Found")</f>
        <v>High</v>
      </c>
      <c r="Q135" s="32">
        <f>Table1[[#This Row],[Current Stock]]*Table1[[#This Row],[Unit Cost (Currency)]]</f>
        <v>80040</v>
      </c>
      <c r="S135" s="154" t="s">
        <v>385</v>
      </c>
      <c r="T135" s="155"/>
      <c r="U135" s="155"/>
      <c r="V135" s="155"/>
      <c r="W135" s="155"/>
      <c r="X135" s="156"/>
      <c r="Y135" s="176">
        <v>55</v>
      </c>
      <c r="Z135" s="177"/>
      <c r="AA135" s="177"/>
      <c r="AB135" s="169">
        <v>0.28000000000000003</v>
      </c>
    </row>
    <row r="136" spans="1:28" ht="14.4" customHeight="1" x14ac:dyDescent="0.3">
      <c r="A136" s="13" t="s">
        <v>189</v>
      </c>
      <c r="B136" s="2">
        <v>46197</v>
      </c>
      <c r="C136" s="1" t="s">
        <v>40</v>
      </c>
      <c r="D136" s="1" t="s">
        <v>26</v>
      </c>
      <c r="E136" s="1" t="s">
        <v>18</v>
      </c>
      <c r="F136" s="1">
        <v>80</v>
      </c>
      <c r="G136" s="1">
        <v>28</v>
      </c>
      <c r="H136" s="1">
        <v>101</v>
      </c>
      <c r="I136" s="1">
        <v>75</v>
      </c>
      <c r="J136" s="14" t="s">
        <v>14</v>
      </c>
      <c r="K136" s="1" t="str">
        <f>_xlfn.XLOOKUP(C136,[1]Sheet!$A:$A,[1]Sheet!$B:$B,"Not Found")</f>
        <v>Component 18</v>
      </c>
      <c r="L136" s="1" t="str">
        <f>_xlfn.XLOOKUP(C136,[1]Sheet!$A:$A,[1]Sheet!$C:$C,"Not Found")</f>
        <v>Safety</v>
      </c>
      <c r="M136" s="29">
        <f>_xlfn.XLOOKUP(C136,[1]Sheet!$A:$A,[1]Sheet!$D:$D,"Not Found")</f>
        <v>8</v>
      </c>
      <c r="N136" s="1" t="str">
        <f>_xlfn.XLOOKUP(C136,[1]Sheet!$A:$A,[1]Sheet!$E:$E,"Not Found")</f>
        <v>Central</v>
      </c>
      <c r="O136" s="1">
        <f>_xlfn.XLOOKUP(C136,[1]Sheet!$A:$A,[1]Sheet!$F:$F,"Not Found")</f>
        <v>19</v>
      </c>
      <c r="P136" s="1" t="str">
        <f>_xlfn.XLOOKUP(C136,[1]Sheet!$A:$A,[1]Sheet!$G:$G,"Not Found")</f>
        <v>High</v>
      </c>
      <c r="Q136" s="32">
        <f>Table1[[#This Row],[Current Stock]]*Table1[[#This Row],[Unit Cost (Currency)]]</f>
        <v>808</v>
      </c>
      <c r="S136" s="154"/>
      <c r="T136" s="155"/>
      <c r="U136" s="155"/>
      <c r="V136" s="155"/>
      <c r="W136" s="155"/>
      <c r="X136" s="156"/>
      <c r="Y136" s="178"/>
      <c r="Z136" s="179"/>
      <c r="AA136" s="179"/>
      <c r="AB136" s="170"/>
    </row>
    <row r="137" spans="1:28" ht="14.4" customHeight="1" x14ac:dyDescent="0.3">
      <c r="A137" s="13" t="s">
        <v>190</v>
      </c>
      <c r="B137" s="2">
        <v>46174</v>
      </c>
      <c r="C137" s="1" t="s">
        <v>47</v>
      </c>
      <c r="D137" s="1" t="s">
        <v>26</v>
      </c>
      <c r="E137" s="1" t="s">
        <v>13</v>
      </c>
      <c r="F137" s="1">
        <v>3</v>
      </c>
      <c r="G137" s="1">
        <v>99</v>
      </c>
      <c r="H137" s="1">
        <v>148</v>
      </c>
      <c r="I137" s="1">
        <v>71</v>
      </c>
      <c r="J137" s="14" t="s">
        <v>14</v>
      </c>
      <c r="K137" s="1" t="str">
        <f>_xlfn.XLOOKUP(C137,[1]Sheet!$A:$A,[1]Sheet!$B:$B,"Not Found")</f>
        <v>Component 6</v>
      </c>
      <c r="L137" s="1" t="str">
        <f>_xlfn.XLOOKUP(C137,[1]Sheet!$A:$A,[1]Sheet!$C:$C,"Not Found")</f>
        <v>Electrical</v>
      </c>
      <c r="M137" s="29">
        <f>_xlfn.XLOOKUP(C137,[1]Sheet!$A:$A,[1]Sheet!$D:$D,"Not Found")</f>
        <v>156</v>
      </c>
      <c r="N137" s="1" t="str">
        <f>_xlfn.XLOOKUP(C137,[1]Sheet!$A:$A,[1]Sheet!$E:$E,"Not Found")</f>
        <v>Central</v>
      </c>
      <c r="O137" s="1">
        <f>_xlfn.XLOOKUP(C137,[1]Sheet!$A:$A,[1]Sheet!$F:$F,"Not Found")</f>
        <v>8</v>
      </c>
      <c r="P137" s="1" t="str">
        <f>_xlfn.XLOOKUP(C137,[1]Sheet!$A:$A,[1]Sheet!$G:$G,"Not Found")</f>
        <v>High</v>
      </c>
      <c r="Q137" s="32">
        <f>Table1[[#This Row],[Current Stock]]*Table1[[#This Row],[Unit Cost (Currency)]]</f>
        <v>23088</v>
      </c>
      <c r="S137" s="172" t="s">
        <v>386</v>
      </c>
      <c r="T137" s="173"/>
      <c r="U137" s="173"/>
      <c r="V137" s="173"/>
      <c r="W137" s="173"/>
      <c r="X137" s="173"/>
      <c r="Y137" s="176">
        <v>75</v>
      </c>
      <c r="Z137" s="177"/>
      <c r="AA137" s="177"/>
      <c r="AB137" s="169">
        <v>0.37</v>
      </c>
    </row>
    <row r="138" spans="1:28" ht="14.4" customHeight="1" x14ac:dyDescent="0.3">
      <c r="A138" s="13" t="s">
        <v>191</v>
      </c>
      <c r="B138" s="2">
        <v>46196</v>
      </c>
      <c r="C138" s="1" t="s">
        <v>42</v>
      </c>
      <c r="D138" s="1" t="s">
        <v>12</v>
      </c>
      <c r="E138" s="1" t="s">
        <v>13</v>
      </c>
      <c r="F138" s="1">
        <v>3</v>
      </c>
      <c r="G138" s="1">
        <v>10</v>
      </c>
      <c r="H138" s="1">
        <v>135</v>
      </c>
      <c r="I138" s="1">
        <v>44</v>
      </c>
      <c r="J138" s="14" t="s">
        <v>19</v>
      </c>
      <c r="K138" s="1" t="str">
        <f>_xlfn.XLOOKUP(C138,[1]Sheet!$A:$A,[1]Sheet!$B:$B,"Not Found")</f>
        <v>Component 19</v>
      </c>
      <c r="L138" s="1" t="str">
        <f>_xlfn.XLOOKUP(C138,[1]Sheet!$A:$A,[1]Sheet!$C:$C,"Not Found")</f>
        <v>Mechanical</v>
      </c>
      <c r="M138" s="29">
        <f>_xlfn.XLOOKUP(C138,[1]Sheet!$A:$A,[1]Sheet!$D:$D,"Not Found")</f>
        <v>239</v>
      </c>
      <c r="N138" s="1" t="str">
        <f>_xlfn.XLOOKUP(C138,[1]Sheet!$A:$A,[1]Sheet!$E:$E,"Not Found")</f>
        <v>Central</v>
      </c>
      <c r="O138" s="1">
        <f>_xlfn.XLOOKUP(C138,[1]Sheet!$A:$A,[1]Sheet!$F:$F,"Not Found")</f>
        <v>28</v>
      </c>
      <c r="P138" s="1" t="str">
        <f>_xlfn.XLOOKUP(C138,[1]Sheet!$A:$A,[1]Sheet!$G:$G,"Not Found")</f>
        <v>High</v>
      </c>
      <c r="Q138" s="32">
        <f>Table1[[#This Row],[Current Stock]]*Table1[[#This Row],[Unit Cost (Currency)]]</f>
        <v>32265</v>
      </c>
      <c r="S138" s="174"/>
      <c r="T138" s="175"/>
      <c r="U138" s="175"/>
      <c r="V138" s="175"/>
      <c r="W138" s="175"/>
      <c r="X138" s="175"/>
      <c r="Y138" s="178"/>
      <c r="Z138" s="179"/>
      <c r="AA138" s="179"/>
      <c r="AB138" s="170"/>
    </row>
    <row r="139" spans="1:28" ht="14.4" customHeight="1" x14ac:dyDescent="0.3">
      <c r="A139" s="13" t="s">
        <v>192</v>
      </c>
      <c r="B139" s="2">
        <v>46186</v>
      </c>
      <c r="C139" s="1" t="s">
        <v>75</v>
      </c>
      <c r="D139" s="1" t="s">
        <v>26</v>
      </c>
      <c r="E139" s="1" t="s">
        <v>13</v>
      </c>
      <c r="F139" s="1">
        <v>78</v>
      </c>
      <c r="G139" s="1">
        <v>90</v>
      </c>
      <c r="H139" s="1">
        <v>151</v>
      </c>
      <c r="I139" s="1">
        <v>26</v>
      </c>
      <c r="J139" s="14" t="s">
        <v>14</v>
      </c>
      <c r="K139" s="1" t="str">
        <f>_xlfn.XLOOKUP(C139,[1]Sheet!$A:$A,[1]Sheet!$B:$B,"Not Found")</f>
        <v>Component 1</v>
      </c>
      <c r="L139" s="1" t="str">
        <f>_xlfn.XLOOKUP(C139,[1]Sheet!$A:$A,[1]Sheet!$C:$C,"Not Found")</f>
        <v>Safety</v>
      </c>
      <c r="M139" s="29">
        <f>_xlfn.XLOOKUP(C139,[1]Sheet!$A:$A,[1]Sheet!$D:$D,"Not Found")</f>
        <v>375</v>
      </c>
      <c r="N139" s="1" t="str">
        <f>_xlfn.XLOOKUP(C139,[1]Sheet!$A:$A,[1]Sheet!$E:$E,"Not Found")</f>
        <v>Alpha</v>
      </c>
      <c r="O139" s="1">
        <f>_xlfn.XLOOKUP(C139,[1]Sheet!$A:$A,[1]Sheet!$F:$F,"Not Found")</f>
        <v>19</v>
      </c>
      <c r="P139" s="1" t="str">
        <f>_xlfn.XLOOKUP(C139,[1]Sheet!$A:$A,[1]Sheet!$G:$G,"Not Found")</f>
        <v>Low</v>
      </c>
      <c r="Q139" s="32">
        <f>Table1[[#This Row],[Current Stock]]*Table1[[#This Row],[Unit Cost (Currency)]]</f>
        <v>56625</v>
      </c>
      <c r="S139" s="154" t="s">
        <v>389</v>
      </c>
      <c r="T139" s="155"/>
      <c r="U139" s="155"/>
      <c r="V139" s="155"/>
      <c r="W139" s="155"/>
      <c r="X139" s="156"/>
      <c r="Y139" s="180" t="s">
        <v>392</v>
      </c>
      <c r="Z139" s="177"/>
      <c r="AA139" s="177"/>
      <c r="AB139" s="193">
        <v>0.15379999999999999</v>
      </c>
    </row>
    <row r="140" spans="1:28" ht="14.4" customHeight="1" x14ac:dyDescent="0.3">
      <c r="A140" s="13" t="s">
        <v>193</v>
      </c>
      <c r="B140" s="2">
        <v>46189</v>
      </c>
      <c r="C140" s="1" t="s">
        <v>90</v>
      </c>
      <c r="D140" s="1" t="s">
        <v>12</v>
      </c>
      <c r="E140" s="1" t="s">
        <v>18</v>
      </c>
      <c r="F140" s="1">
        <v>117</v>
      </c>
      <c r="G140" s="1">
        <v>81</v>
      </c>
      <c r="H140" s="1">
        <v>248</v>
      </c>
      <c r="I140" s="1">
        <v>33</v>
      </c>
      <c r="J140" s="14" t="s">
        <v>19</v>
      </c>
      <c r="K140" s="1" t="str">
        <f>_xlfn.XLOOKUP(C140,[1]Sheet!$A:$A,[1]Sheet!$B:$B,"Not Found")</f>
        <v>Component 22</v>
      </c>
      <c r="L140" s="1" t="str">
        <f>_xlfn.XLOOKUP(C140,[1]Sheet!$A:$A,[1]Sheet!$C:$C,"Not Found")</f>
        <v>Packaging</v>
      </c>
      <c r="M140" s="29">
        <f>_xlfn.XLOOKUP(C140,[1]Sheet!$A:$A,[1]Sheet!$D:$D,"Not Found")</f>
        <v>421</v>
      </c>
      <c r="N140" s="1" t="str">
        <f>_xlfn.XLOOKUP(C140,[1]Sheet!$A:$A,[1]Sheet!$E:$E,"Not Found")</f>
        <v>Bravo</v>
      </c>
      <c r="O140" s="1">
        <f>_xlfn.XLOOKUP(C140,[1]Sheet!$A:$A,[1]Sheet!$F:$F,"Not Found")</f>
        <v>12</v>
      </c>
      <c r="P140" s="1" t="str">
        <f>_xlfn.XLOOKUP(C140,[1]Sheet!$A:$A,[1]Sheet!$G:$G,"Not Found")</f>
        <v>Medium</v>
      </c>
      <c r="Q140" s="32">
        <f>Table1[[#This Row],[Current Stock]]*Table1[[#This Row],[Unit Cost (Currency)]]</f>
        <v>104408</v>
      </c>
      <c r="S140" s="154"/>
      <c r="T140" s="155"/>
      <c r="U140" s="155"/>
      <c r="V140" s="155"/>
      <c r="W140" s="155"/>
      <c r="X140" s="156"/>
      <c r="Y140" s="178"/>
      <c r="Z140" s="179"/>
      <c r="AA140" s="179"/>
      <c r="AB140" s="170"/>
    </row>
    <row r="141" spans="1:28" ht="14.4" customHeight="1" x14ac:dyDescent="0.3">
      <c r="A141" s="13" t="s">
        <v>194</v>
      </c>
      <c r="B141" s="2">
        <v>46193</v>
      </c>
      <c r="C141" s="1" t="s">
        <v>47</v>
      </c>
      <c r="D141" s="1" t="s">
        <v>26</v>
      </c>
      <c r="E141" s="1" t="s">
        <v>18</v>
      </c>
      <c r="F141" s="1">
        <v>7</v>
      </c>
      <c r="G141" s="1">
        <v>72</v>
      </c>
      <c r="H141" s="1">
        <v>193</v>
      </c>
      <c r="I141" s="1">
        <v>37</v>
      </c>
      <c r="J141" s="14" t="s">
        <v>19</v>
      </c>
      <c r="K141" s="1" t="str">
        <f>_xlfn.XLOOKUP(C141,[1]Sheet!$A:$A,[1]Sheet!$B:$B,"Not Found")</f>
        <v>Component 6</v>
      </c>
      <c r="L141" s="1" t="str">
        <f>_xlfn.XLOOKUP(C141,[1]Sheet!$A:$A,[1]Sheet!$C:$C,"Not Found")</f>
        <v>Electrical</v>
      </c>
      <c r="M141" s="29">
        <f>_xlfn.XLOOKUP(C141,[1]Sheet!$A:$A,[1]Sheet!$D:$D,"Not Found")</f>
        <v>156</v>
      </c>
      <c r="N141" s="1" t="str">
        <f>_xlfn.XLOOKUP(C141,[1]Sheet!$A:$A,[1]Sheet!$E:$E,"Not Found")</f>
        <v>Central</v>
      </c>
      <c r="O141" s="1">
        <f>_xlfn.XLOOKUP(C141,[1]Sheet!$A:$A,[1]Sheet!$F:$F,"Not Found")</f>
        <v>8</v>
      </c>
      <c r="P141" s="1" t="str">
        <f>_xlfn.XLOOKUP(C141,[1]Sheet!$A:$A,[1]Sheet!$G:$G,"Not Found")</f>
        <v>High</v>
      </c>
      <c r="Q141" s="32">
        <f>Table1[[#This Row],[Current Stock]]*Table1[[#This Row],[Unit Cost (Currency)]]</f>
        <v>30108</v>
      </c>
      <c r="S141" s="154" t="s">
        <v>390</v>
      </c>
      <c r="T141" s="155"/>
      <c r="U141" s="155"/>
      <c r="V141" s="155"/>
      <c r="W141" s="155"/>
      <c r="X141" s="156"/>
      <c r="Y141" s="181">
        <v>23</v>
      </c>
      <c r="Z141" s="182"/>
      <c r="AA141" s="182"/>
      <c r="AB141" s="193">
        <v>0.5897</v>
      </c>
    </row>
    <row r="142" spans="1:28" ht="15" customHeight="1" x14ac:dyDescent="0.3">
      <c r="A142" s="13" t="s">
        <v>195</v>
      </c>
      <c r="B142" s="2">
        <v>46205</v>
      </c>
      <c r="C142" s="1" t="s">
        <v>33</v>
      </c>
      <c r="D142" s="1" t="s">
        <v>12</v>
      </c>
      <c r="E142" s="1" t="s">
        <v>13</v>
      </c>
      <c r="F142" s="1">
        <v>46</v>
      </c>
      <c r="G142" s="1">
        <v>65</v>
      </c>
      <c r="H142" s="1">
        <v>180</v>
      </c>
      <c r="I142" s="1">
        <v>59</v>
      </c>
      <c r="J142" s="14" t="s">
        <v>19</v>
      </c>
      <c r="K142" s="1" t="str">
        <f>_xlfn.XLOOKUP(C142,[1]Sheet!$A:$A,[1]Sheet!$B:$B,"Not Found")</f>
        <v>Component 10</v>
      </c>
      <c r="L142" s="1" t="str">
        <f>_xlfn.XLOOKUP(C142,[1]Sheet!$A:$A,[1]Sheet!$C:$C,"Not Found")</f>
        <v>Packaging</v>
      </c>
      <c r="M142" s="29">
        <f>_xlfn.XLOOKUP(C142,[1]Sheet!$A:$A,[1]Sheet!$D:$D,"Not Found")</f>
        <v>90</v>
      </c>
      <c r="N142" s="1" t="str">
        <f>_xlfn.XLOOKUP(C142,[1]Sheet!$A:$A,[1]Sheet!$E:$E,"Not Found")</f>
        <v>Central</v>
      </c>
      <c r="O142" s="1">
        <f>_xlfn.XLOOKUP(C142,[1]Sheet!$A:$A,[1]Sheet!$F:$F,"Not Found")</f>
        <v>7</v>
      </c>
      <c r="P142" s="1" t="str">
        <f>_xlfn.XLOOKUP(C142,[1]Sheet!$A:$A,[1]Sheet!$G:$G,"Not Found")</f>
        <v>Medium</v>
      </c>
      <c r="Q142" s="32">
        <f>Table1[[#This Row],[Current Stock]]*Table1[[#This Row],[Unit Cost (Currency)]]</f>
        <v>16200</v>
      </c>
      <c r="S142" s="154"/>
      <c r="T142" s="155"/>
      <c r="U142" s="155"/>
      <c r="V142" s="155"/>
      <c r="W142" s="155"/>
      <c r="X142" s="156"/>
      <c r="Y142" s="183"/>
      <c r="Z142" s="184"/>
      <c r="AA142" s="184"/>
      <c r="AB142" s="170"/>
    </row>
    <row r="143" spans="1:28" ht="14.4" customHeight="1" x14ac:dyDescent="0.3">
      <c r="A143" s="13" t="s">
        <v>196</v>
      </c>
      <c r="B143" s="2">
        <v>46183</v>
      </c>
      <c r="C143" s="1" t="s">
        <v>52</v>
      </c>
      <c r="D143" s="1" t="s">
        <v>26</v>
      </c>
      <c r="E143" s="1" t="s">
        <v>13</v>
      </c>
      <c r="F143" s="1">
        <v>46</v>
      </c>
      <c r="G143" s="1">
        <v>78</v>
      </c>
      <c r="H143" s="1">
        <v>65</v>
      </c>
      <c r="I143" s="1">
        <v>45</v>
      </c>
      <c r="J143" s="14" t="s">
        <v>19</v>
      </c>
      <c r="K143" s="1" t="str">
        <f>_xlfn.XLOOKUP(C143,[1]Sheet!$A:$A,[1]Sheet!$B:$B,"Not Found")</f>
        <v>Component 4</v>
      </c>
      <c r="L143" s="1" t="str">
        <f>_xlfn.XLOOKUP(C143,[1]Sheet!$A:$A,[1]Sheet!$C:$C,"Not Found")</f>
        <v>Mechanical</v>
      </c>
      <c r="M143" s="29">
        <f>_xlfn.XLOOKUP(C143,[1]Sheet!$A:$A,[1]Sheet!$D:$D,"Not Found")</f>
        <v>165</v>
      </c>
      <c r="N143" s="1" t="str">
        <f>_xlfn.XLOOKUP(C143,[1]Sheet!$A:$A,[1]Sheet!$E:$E,"Not Found")</f>
        <v>Central</v>
      </c>
      <c r="O143" s="1">
        <f>_xlfn.XLOOKUP(C143,[1]Sheet!$A:$A,[1]Sheet!$F:$F,"Not Found")</f>
        <v>21</v>
      </c>
      <c r="P143" s="1" t="str">
        <f>_xlfn.XLOOKUP(C143,[1]Sheet!$A:$A,[1]Sheet!$G:$G,"Not Found")</f>
        <v>High</v>
      </c>
      <c r="Q143" s="32">
        <f>Table1[[#This Row],[Current Stock]]*Table1[[#This Row],[Unit Cost (Currency)]]</f>
        <v>10725</v>
      </c>
      <c r="S143" s="154" t="s">
        <v>391</v>
      </c>
      <c r="T143" s="155"/>
      <c r="U143" s="155"/>
      <c r="V143" s="155"/>
      <c r="W143" s="155"/>
      <c r="X143" s="156"/>
      <c r="Y143" s="181">
        <v>10</v>
      </c>
      <c r="Z143" s="182"/>
      <c r="AA143" s="182"/>
      <c r="AB143" s="193">
        <v>0.25640000000000002</v>
      </c>
    </row>
    <row r="144" spans="1:28" ht="14.4" customHeight="1" thickBot="1" x14ac:dyDescent="0.35">
      <c r="A144" s="13" t="s">
        <v>197</v>
      </c>
      <c r="B144" s="2">
        <v>46218</v>
      </c>
      <c r="C144" s="1" t="s">
        <v>69</v>
      </c>
      <c r="D144" s="1" t="s">
        <v>17</v>
      </c>
      <c r="E144" s="1" t="s">
        <v>37</v>
      </c>
      <c r="F144" s="1">
        <v>12</v>
      </c>
      <c r="G144" s="1">
        <v>82</v>
      </c>
      <c r="H144" s="1">
        <v>242</v>
      </c>
      <c r="I144" s="1">
        <v>44</v>
      </c>
      <c r="J144" s="14" t="s">
        <v>14</v>
      </c>
      <c r="K144" s="1" t="str">
        <f>_xlfn.XLOOKUP(C144,[1]Sheet!$A:$A,[1]Sheet!$B:$B,"Not Found")</f>
        <v>Component 16</v>
      </c>
      <c r="L144" s="1" t="str">
        <f>_xlfn.XLOOKUP(C144,[1]Sheet!$A:$A,[1]Sheet!$C:$C,"Not Found")</f>
        <v>Safety</v>
      </c>
      <c r="M144" s="29">
        <f>_xlfn.XLOOKUP(C144,[1]Sheet!$A:$A,[1]Sheet!$D:$D,"Not Found")</f>
        <v>245</v>
      </c>
      <c r="N144" s="1" t="str">
        <f>_xlfn.XLOOKUP(C144,[1]Sheet!$A:$A,[1]Sheet!$E:$E,"Not Found")</f>
        <v>Central</v>
      </c>
      <c r="O144" s="1">
        <f>_xlfn.XLOOKUP(C144,[1]Sheet!$A:$A,[1]Sheet!$F:$F,"Not Found")</f>
        <v>19</v>
      </c>
      <c r="P144" s="1" t="str">
        <f>_xlfn.XLOOKUP(C144,[1]Sheet!$A:$A,[1]Sheet!$G:$G,"Not Found")</f>
        <v>High</v>
      </c>
      <c r="Q144" s="32">
        <f>Table1[[#This Row],[Current Stock]]*Table1[[#This Row],[Unit Cost (Currency)]]</f>
        <v>59290</v>
      </c>
      <c r="S144" s="157"/>
      <c r="T144" s="158"/>
      <c r="U144" s="158"/>
      <c r="V144" s="158"/>
      <c r="W144" s="158"/>
      <c r="X144" s="159"/>
      <c r="Y144" s="185"/>
      <c r="Z144" s="186"/>
      <c r="AA144" s="186"/>
      <c r="AB144" s="200"/>
    </row>
    <row r="145" spans="1:33" ht="14.4" customHeight="1" x14ac:dyDescent="0.3">
      <c r="A145" s="13" t="s">
        <v>198</v>
      </c>
      <c r="B145" s="2">
        <v>46180</v>
      </c>
      <c r="C145" s="1" t="s">
        <v>73</v>
      </c>
      <c r="D145" s="1" t="s">
        <v>17</v>
      </c>
      <c r="E145" s="1" t="s">
        <v>18</v>
      </c>
      <c r="F145" s="1">
        <v>93</v>
      </c>
      <c r="G145" s="1">
        <v>43</v>
      </c>
      <c r="H145" s="1">
        <v>135</v>
      </c>
      <c r="I145" s="1">
        <v>31</v>
      </c>
      <c r="J145" s="14" t="s">
        <v>14</v>
      </c>
      <c r="K145" s="1" t="str">
        <f>_xlfn.XLOOKUP(C145,[1]Sheet!$A:$A,[1]Sheet!$B:$B,"Not Found")</f>
        <v>Component 8</v>
      </c>
      <c r="L145" s="1" t="str">
        <f>_xlfn.XLOOKUP(C145,[1]Sheet!$A:$A,[1]Sheet!$C:$C,"Not Found")</f>
        <v>Electrical</v>
      </c>
      <c r="M145" s="29">
        <f>_xlfn.XLOOKUP(C145,[1]Sheet!$A:$A,[1]Sheet!$D:$D,"Not Found")</f>
        <v>245</v>
      </c>
      <c r="N145" s="1" t="str">
        <f>_xlfn.XLOOKUP(C145,[1]Sheet!$A:$A,[1]Sheet!$E:$E,"Not Found")</f>
        <v>Delta</v>
      </c>
      <c r="O145" s="1">
        <f>_xlfn.XLOOKUP(C145,[1]Sheet!$A:$A,[1]Sheet!$F:$F,"Not Found")</f>
        <v>5</v>
      </c>
      <c r="P145" s="1" t="str">
        <f>_xlfn.XLOOKUP(C145,[1]Sheet!$A:$A,[1]Sheet!$G:$G,"Not Found")</f>
        <v>Low</v>
      </c>
      <c r="Q145" s="32">
        <f>Table1[[#This Row],[Current Stock]]*Table1[[#This Row],[Unit Cost (Currency)]]</f>
        <v>33075</v>
      </c>
      <c r="W145" s="97"/>
      <c r="X145" s="97"/>
      <c r="Y145" s="171"/>
      <c r="Z145" s="171"/>
      <c r="AA145" s="171"/>
    </row>
    <row r="146" spans="1:33" ht="14.4" customHeight="1" x14ac:dyDescent="0.3">
      <c r="A146" s="13" t="s">
        <v>199</v>
      </c>
      <c r="B146" s="2">
        <v>46187</v>
      </c>
      <c r="C146" s="1" t="s">
        <v>90</v>
      </c>
      <c r="D146" s="1" t="s">
        <v>12</v>
      </c>
      <c r="E146" s="1" t="s">
        <v>37</v>
      </c>
      <c r="F146" s="1">
        <v>64</v>
      </c>
      <c r="G146" s="1">
        <v>6</v>
      </c>
      <c r="H146" s="1">
        <v>78</v>
      </c>
      <c r="I146" s="1">
        <v>59</v>
      </c>
      <c r="J146" s="14" t="s">
        <v>19</v>
      </c>
      <c r="K146" s="1" t="str">
        <f>_xlfn.XLOOKUP(C146,[1]Sheet!$A:$A,[1]Sheet!$B:$B,"Not Found")</f>
        <v>Component 22</v>
      </c>
      <c r="L146" s="1" t="str">
        <f>_xlfn.XLOOKUP(C146,[1]Sheet!$A:$A,[1]Sheet!$C:$C,"Not Found")</f>
        <v>Packaging</v>
      </c>
      <c r="M146" s="29">
        <f>_xlfn.XLOOKUP(C146,[1]Sheet!$A:$A,[1]Sheet!$D:$D,"Not Found")</f>
        <v>421</v>
      </c>
      <c r="N146" s="1" t="str">
        <f>_xlfn.XLOOKUP(C146,[1]Sheet!$A:$A,[1]Sheet!$E:$E,"Not Found")</f>
        <v>Bravo</v>
      </c>
      <c r="O146" s="1">
        <f>_xlfn.XLOOKUP(C146,[1]Sheet!$A:$A,[1]Sheet!$F:$F,"Not Found")</f>
        <v>12</v>
      </c>
      <c r="P146" s="1" t="str">
        <f>_xlfn.XLOOKUP(C146,[1]Sheet!$A:$A,[1]Sheet!$G:$G,"Not Found")</f>
        <v>Medium</v>
      </c>
      <c r="Q146" s="32">
        <f>Table1[[#This Row],[Current Stock]]*Table1[[#This Row],[Unit Cost (Currency)]]</f>
        <v>32838</v>
      </c>
      <c r="W146" s="97"/>
      <c r="X146" s="97"/>
      <c r="Y146" s="171"/>
      <c r="Z146" s="171"/>
      <c r="AA146" s="171"/>
    </row>
    <row r="147" spans="1:33" ht="14.4" customHeight="1" x14ac:dyDescent="0.3">
      <c r="A147" s="13" t="s">
        <v>200</v>
      </c>
      <c r="B147" s="2">
        <v>46195</v>
      </c>
      <c r="C147" s="1" t="s">
        <v>69</v>
      </c>
      <c r="D147" s="1" t="s">
        <v>26</v>
      </c>
      <c r="E147" s="1" t="s">
        <v>37</v>
      </c>
      <c r="F147" s="1">
        <v>41</v>
      </c>
      <c r="G147" s="1">
        <v>44</v>
      </c>
      <c r="H147" s="1">
        <v>145</v>
      </c>
      <c r="I147" s="1">
        <v>38</v>
      </c>
      <c r="J147" s="14" t="s">
        <v>19</v>
      </c>
      <c r="K147" s="1" t="str">
        <f>_xlfn.XLOOKUP(C147,[1]Sheet!$A:$A,[1]Sheet!$B:$B,"Not Found")</f>
        <v>Component 16</v>
      </c>
      <c r="L147" s="1" t="str">
        <f>_xlfn.XLOOKUP(C147,[1]Sheet!$A:$A,[1]Sheet!$C:$C,"Not Found")</f>
        <v>Safety</v>
      </c>
      <c r="M147" s="29">
        <f>_xlfn.XLOOKUP(C147,[1]Sheet!$A:$A,[1]Sheet!$D:$D,"Not Found")</f>
        <v>245</v>
      </c>
      <c r="N147" s="1" t="str">
        <f>_xlfn.XLOOKUP(C147,[1]Sheet!$A:$A,[1]Sheet!$E:$E,"Not Found")</f>
        <v>Central</v>
      </c>
      <c r="O147" s="1">
        <f>_xlfn.XLOOKUP(C147,[1]Sheet!$A:$A,[1]Sheet!$F:$F,"Not Found")</f>
        <v>19</v>
      </c>
      <c r="P147" s="1" t="str">
        <f>_xlfn.XLOOKUP(C147,[1]Sheet!$A:$A,[1]Sheet!$G:$G,"Not Found")</f>
        <v>High</v>
      </c>
      <c r="Q147" s="32">
        <f>Table1[[#This Row],[Current Stock]]*Table1[[#This Row],[Unit Cost (Currency)]]</f>
        <v>35525</v>
      </c>
      <c r="W147" s="97"/>
      <c r="X147" s="97"/>
      <c r="Y147" s="171"/>
      <c r="Z147" s="171"/>
      <c r="AA147" s="171"/>
    </row>
    <row r="148" spans="1:33" ht="15" customHeight="1" x14ac:dyDescent="0.35">
      <c r="A148" s="13" t="s">
        <v>201</v>
      </c>
      <c r="B148" s="2">
        <v>46211</v>
      </c>
      <c r="C148" s="1" t="s">
        <v>65</v>
      </c>
      <c r="D148" s="1" t="s">
        <v>17</v>
      </c>
      <c r="E148" s="1" t="s">
        <v>18</v>
      </c>
      <c r="F148" s="1">
        <v>118</v>
      </c>
      <c r="G148" s="1">
        <v>10</v>
      </c>
      <c r="H148" s="1">
        <v>199</v>
      </c>
      <c r="I148" s="1">
        <v>56</v>
      </c>
      <c r="J148" s="14" t="s">
        <v>14</v>
      </c>
      <c r="K148" s="1" t="str">
        <f>_xlfn.XLOOKUP(C148,[1]Sheet!$A:$A,[1]Sheet!$B:$B,"Not Found")</f>
        <v>Component 37</v>
      </c>
      <c r="L148" s="1" t="str">
        <f>_xlfn.XLOOKUP(C148,[1]Sheet!$A:$A,[1]Sheet!$C:$C,"Not Found")</f>
        <v>Packaging</v>
      </c>
      <c r="M148" s="29">
        <f>_xlfn.XLOOKUP(C148,[1]Sheet!$A:$A,[1]Sheet!$D:$D,"Not Found")</f>
        <v>186</v>
      </c>
      <c r="N148" s="1" t="str">
        <f>_xlfn.XLOOKUP(C148,[1]Sheet!$A:$A,[1]Sheet!$E:$E,"Not Found")</f>
        <v>Central</v>
      </c>
      <c r="O148" s="1">
        <f>_xlfn.XLOOKUP(C148,[1]Sheet!$A:$A,[1]Sheet!$F:$F,"Not Found")</f>
        <v>19</v>
      </c>
      <c r="P148" s="1" t="str">
        <f>_xlfn.XLOOKUP(C148,[1]Sheet!$A:$A,[1]Sheet!$G:$G,"Not Found")</f>
        <v>Medium</v>
      </c>
      <c r="Q148" s="32">
        <f>Table1[[#This Row],[Current Stock]]*Table1[[#This Row],[Unit Cost (Currency)]]</f>
        <v>37014</v>
      </c>
      <c r="S148" s="7" t="s">
        <v>394</v>
      </c>
      <c r="T148" s="77"/>
      <c r="W148" s="97"/>
      <c r="X148" s="97"/>
      <c r="Y148" s="171"/>
      <c r="Z148" s="171"/>
      <c r="AA148" s="171"/>
    </row>
    <row r="149" spans="1:33" x14ac:dyDescent="0.3">
      <c r="A149" s="13" t="s">
        <v>202</v>
      </c>
      <c r="B149" s="2">
        <v>46184</v>
      </c>
      <c r="C149" s="1" t="s">
        <v>52</v>
      </c>
      <c r="D149" s="1" t="s">
        <v>26</v>
      </c>
      <c r="E149" s="1" t="s">
        <v>18</v>
      </c>
      <c r="F149" s="1">
        <v>96</v>
      </c>
      <c r="G149" s="1">
        <v>83</v>
      </c>
      <c r="H149" s="1">
        <v>162</v>
      </c>
      <c r="I149" s="1">
        <v>44</v>
      </c>
      <c r="J149" s="14" t="s">
        <v>19</v>
      </c>
      <c r="K149" s="1" t="str">
        <f>_xlfn.XLOOKUP(C149,[1]Sheet!$A:$A,[1]Sheet!$B:$B,"Not Found")</f>
        <v>Component 4</v>
      </c>
      <c r="L149" s="1" t="str">
        <f>_xlfn.XLOOKUP(C149,[1]Sheet!$A:$A,[1]Sheet!$C:$C,"Not Found")</f>
        <v>Mechanical</v>
      </c>
      <c r="M149" s="29">
        <f>_xlfn.XLOOKUP(C149,[1]Sheet!$A:$A,[1]Sheet!$D:$D,"Not Found")</f>
        <v>165</v>
      </c>
      <c r="N149" s="1" t="str">
        <f>_xlfn.XLOOKUP(C149,[1]Sheet!$A:$A,[1]Sheet!$E:$E,"Not Found")</f>
        <v>Central</v>
      </c>
      <c r="O149" s="1">
        <f>_xlfn.XLOOKUP(C149,[1]Sheet!$A:$A,[1]Sheet!$F:$F,"Not Found")</f>
        <v>21</v>
      </c>
      <c r="P149" s="1" t="str">
        <f>_xlfn.XLOOKUP(C149,[1]Sheet!$A:$A,[1]Sheet!$G:$G,"Not Found")</f>
        <v>High</v>
      </c>
      <c r="Q149" s="32">
        <f>Table1[[#This Row],[Current Stock]]*Table1[[#This Row],[Unit Cost (Currency)]]</f>
        <v>26730</v>
      </c>
    </row>
    <row r="150" spans="1:33" x14ac:dyDescent="0.3">
      <c r="A150" s="13" t="s">
        <v>203</v>
      </c>
      <c r="B150" s="2">
        <v>46200</v>
      </c>
      <c r="C150" s="1" t="s">
        <v>57</v>
      </c>
      <c r="D150" s="1" t="s">
        <v>26</v>
      </c>
      <c r="E150" s="1" t="s">
        <v>13</v>
      </c>
      <c r="F150" s="1">
        <v>43</v>
      </c>
      <c r="G150" s="1">
        <v>23</v>
      </c>
      <c r="H150" s="1">
        <v>130</v>
      </c>
      <c r="I150" s="1">
        <v>33</v>
      </c>
      <c r="J150" s="14" t="s">
        <v>19</v>
      </c>
      <c r="K150" s="1" t="str">
        <f>_xlfn.XLOOKUP(C150,[1]Sheet!$A:$A,[1]Sheet!$B:$B,"Not Found")</f>
        <v>Component 11</v>
      </c>
      <c r="L150" s="1" t="str">
        <f>_xlfn.XLOOKUP(C150,[1]Sheet!$A:$A,[1]Sheet!$C:$C,"Not Found")</f>
        <v>Electrical</v>
      </c>
      <c r="M150" s="29">
        <f>_xlfn.XLOOKUP(C150,[1]Sheet!$A:$A,[1]Sheet!$D:$D,"Not Found")</f>
        <v>386</v>
      </c>
      <c r="N150" s="1" t="str">
        <f>_xlfn.XLOOKUP(C150,[1]Sheet!$A:$A,[1]Sheet!$E:$E,"Not Found")</f>
        <v>Central</v>
      </c>
      <c r="O150" s="1">
        <f>_xlfn.XLOOKUP(C150,[1]Sheet!$A:$A,[1]Sheet!$F:$F,"Not Found")</f>
        <v>19</v>
      </c>
      <c r="P150" s="1" t="str">
        <f>_xlfn.XLOOKUP(C150,[1]Sheet!$A:$A,[1]Sheet!$G:$G,"Not Found")</f>
        <v>High</v>
      </c>
      <c r="Q150" s="32">
        <f>Table1[[#This Row],[Current Stock]]*Table1[[#This Row],[Unit Cost (Currency)]]</f>
        <v>50180</v>
      </c>
    </row>
    <row r="151" spans="1:33" ht="18" x14ac:dyDescent="0.3">
      <c r="A151" s="13" t="s">
        <v>204</v>
      </c>
      <c r="B151" s="2">
        <v>46199</v>
      </c>
      <c r="C151" s="1" t="s">
        <v>42</v>
      </c>
      <c r="D151" s="1" t="s">
        <v>26</v>
      </c>
      <c r="E151" s="1" t="s">
        <v>37</v>
      </c>
      <c r="F151" s="1">
        <v>47</v>
      </c>
      <c r="G151" s="1">
        <v>21</v>
      </c>
      <c r="H151" s="1">
        <v>45</v>
      </c>
      <c r="I151" s="1">
        <v>58</v>
      </c>
      <c r="J151" s="14" t="s">
        <v>14</v>
      </c>
      <c r="K151" s="1" t="str">
        <f>_xlfn.XLOOKUP(C151,[1]Sheet!$A:$A,[1]Sheet!$B:$B,"Not Found")</f>
        <v>Component 19</v>
      </c>
      <c r="L151" s="1" t="str">
        <f>_xlfn.XLOOKUP(C151,[1]Sheet!$A:$A,[1]Sheet!$C:$C,"Not Found")</f>
        <v>Mechanical</v>
      </c>
      <c r="M151" s="29">
        <f>_xlfn.XLOOKUP(C151,[1]Sheet!$A:$A,[1]Sheet!$D:$D,"Not Found")</f>
        <v>239</v>
      </c>
      <c r="N151" s="1" t="str">
        <f>_xlfn.XLOOKUP(C151,[1]Sheet!$A:$A,[1]Sheet!$E:$E,"Not Found")</f>
        <v>Central</v>
      </c>
      <c r="O151" s="1">
        <f>_xlfn.XLOOKUP(C151,[1]Sheet!$A:$A,[1]Sheet!$F:$F,"Not Found")</f>
        <v>28</v>
      </c>
      <c r="P151" s="1" t="str">
        <f>_xlfn.XLOOKUP(C151,[1]Sheet!$A:$A,[1]Sheet!$G:$G,"Not Found")</f>
        <v>High</v>
      </c>
      <c r="Q151" s="32">
        <f>Table1[[#This Row],[Current Stock]]*Table1[[#This Row],[Unit Cost (Currency)]]</f>
        <v>10755</v>
      </c>
      <c r="S151" s="130" t="s">
        <v>395</v>
      </c>
      <c r="T151" s="130"/>
      <c r="U151" s="130"/>
    </row>
    <row r="152" spans="1:33" x14ac:dyDescent="0.3">
      <c r="A152" s="13" t="s">
        <v>205</v>
      </c>
      <c r="B152" s="2">
        <v>46216</v>
      </c>
      <c r="C152" s="1" t="s">
        <v>55</v>
      </c>
      <c r="D152" s="1" t="s">
        <v>12</v>
      </c>
      <c r="E152" s="1" t="s">
        <v>37</v>
      </c>
      <c r="F152" s="1">
        <v>97</v>
      </c>
      <c r="G152" s="1">
        <v>32</v>
      </c>
      <c r="H152" s="1">
        <v>208</v>
      </c>
      <c r="I152" s="1">
        <v>39</v>
      </c>
      <c r="J152" s="14" t="s">
        <v>14</v>
      </c>
      <c r="K152" s="1" t="str">
        <f>_xlfn.XLOOKUP(C152,[1]Sheet!$A:$A,[1]Sheet!$B:$B,"Not Found")</f>
        <v>Component 14</v>
      </c>
      <c r="L152" s="1" t="str">
        <f>_xlfn.XLOOKUP(C152,[1]Sheet!$A:$A,[1]Sheet!$C:$C,"Not Found")</f>
        <v>Mechanical</v>
      </c>
      <c r="M152" s="29">
        <f>_xlfn.XLOOKUP(C152,[1]Sheet!$A:$A,[1]Sheet!$D:$D,"Not Found")</f>
        <v>270</v>
      </c>
      <c r="N152" s="1" t="str">
        <f>_xlfn.XLOOKUP(C152,[1]Sheet!$A:$A,[1]Sheet!$E:$E,"Not Found")</f>
        <v>Central</v>
      </c>
      <c r="O152" s="1">
        <f>_xlfn.XLOOKUP(C152,[1]Sheet!$A:$A,[1]Sheet!$F:$F,"Not Found")</f>
        <v>4</v>
      </c>
      <c r="P152" s="1" t="str">
        <f>_xlfn.XLOOKUP(C152,[1]Sheet!$A:$A,[1]Sheet!$G:$G,"Not Found")</f>
        <v>Medium</v>
      </c>
      <c r="Q152" s="32">
        <f>Table1[[#This Row],[Current Stock]]*Table1[[#This Row],[Unit Cost (Currency)]]</f>
        <v>56160</v>
      </c>
    </row>
    <row r="153" spans="1:33" x14ac:dyDescent="0.3">
      <c r="A153" s="13" t="s">
        <v>206</v>
      </c>
      <c r="B153" s="2">
        <v>46205</v>
      </c>
      <c r="C153" s="1" t="s">
        <v>107</v>
      </c>
      <c r="D153" s="1" t="s">
        <v>26</v>
      </c>
      <c r="E153" s="1" t="s">
        <v>13</v>
      </c>
      <c r="F153" s="1">
        <v>89</v>
      </c>
      <c r="G153" s="1">
        <v>37</v>
      </c>
      <c r="H153" s="1">
        <v>164</v>
      </c>
      <c r="I153" s="1">
        <v>77</v>
      </c>
      <c r="J153" s="14" t="s">
        <v>19</v>
      </c>
      <c r="K153" s="1" t="str">
        <f>_xlfn.XLOOKUP(C153,[1]Sheet!$A:$A,[1]Sheet!$B:$B,"Not Found")</f>
        <v>Component 13</v>
      </c>
      <c r="L153" s="1" t="str">
        <f>_xlfn.XLOOKUP(C153,[1]Sheet!$A:$A,[1]Sheet!$C:$C,"Not Found")</f>
        <v>Packaging</v>
      </c>
      <c r="M153" s="29">
        <f>_xlfn.XLOOKUP(C153,[1]Sheet!$A:$A,[1]Sheet!$D:$D,"Not Found")</f>
        <v>494</v>
      </c>
      <c r="N153" s="1" t="str">
        <f>_xlfn.XLOOKUP(C153,[1]Sheet!$A:$A,[1]Sheet!$E:$E,"Not Found")</f>
        <v>Bravo</v>
      </c>
      <c r="O153" s="1">
        <f>_xlfn.XLOOKUP(C153,[1]Sheet!$A:$A,[1]Sheet!$F:$F,"Not Found")</f>
        <v>27</v>
      </c>
      <c r="P153" s="1" t="str">
        <f>_xlfn.XLOOKUP(C153,[1]Sheet!$A:$A,[1]Sheet!$G:$G,"Not Found")</f>
        <v>Low</v>
      </c>
      <c r="Q153" s="32">
        <f>Table1[[#This Row],[Current Stock]]*Table1[[#This Row],[Unit Cost (Currency)]]</f>
        <v>81016</v>
      </c>
    </row>
    <row r="154" spans="1:33" ht="21" x14ac:dyDescent="0.4">
      <c r="A154" s="13" t="s">
        <v>207</v>
      </c>
      <c r="B154" s="2">
        <v>46192</v>
      </c>
      <c r="C154" s="1" t="s">
        <v>52</v>
      </c>
      <c r="D154" s="1" t="s">
        <v>26</v>
      </c>
      <c r="E154" s="1" t="s">
        <v>18</v>
      </c>
      <c r="F154" s="1">
        <v>25</v>
      </c>
      <c r="G154" s="1">
        <v>15</v>
      </c>
      <c r="H154" s="1">
        <v>123</v>
      </c>
      <c r="I154" s="1">
        <v>33</v>
      </c>
      <c r="J154" s="14" t="s">
        <v>19</v>
      </c>
      <c r="K154" s="1" t="str">
        <f>_xlfn.XLOOKUP(C154,[1]Sheet!$A:$A,[1]Sheet!$B:$B,"Not Found")</f>
        <v>Component 4</v>
      </c>
      <c r="L154" s="1" t="str">
        <f>_xlfn.XLOOKUP(C154,[1]Sheet!$A:$A,[1]Sheet!$C:$C,"Not Found")</f>
        <v>Mechanical</v>
      </c>
      <c r="M154" s="29">
        <f>_xlfn.XLOOKUP(C154,[1]Sheet!$A:$A,[1]Sheet!$D:$D,"Not Found")</f>
        <v>165</v>
      </c>
      <c r="N154" s="1" t="str">
        <f>_xlfn.XLOOKUP(C154,[1]Sheet!$A:$A,[1]Sheet!$E:$E,"Not Found")</f>
        <v>Central</v>
      </c>
      <c r="O154" s="1">
        <f>_xlfn.XLOOKUP(C154,[1]Sheet!$A:$A,[1]Sheet!$F:$F,"Not Found")</f>
        <v>21</v>
      </c>
      <c r="P154" s="1" t="str">
        <f>_xlfn.XLOOKUP(C154,[1]Sheet!$A:$A,[1]Sheet!$G:$G,"Not Found")</f>
        <v>High</v>
      </c>
      <c r="Q154" s="32">
        <f>Table1[[#This Row],[Current Stock]]*Table1[[#This Row],[Unit Cost (Currency)]]</f>
        <v>20295</v>
      </c>
      <c r="S154" s="98" t="s">
        <v>398</v>
      </c>
      <c r="T154" s="99"/>
      <c r="U154" s="99"/>
      <c r="V154" s="99"/>
      <c r="W154" s="99"/>
      <c r="X154" s="99"/>
      <c r="Y154" s="99"/>
      <c r="Z154" s="99"/>
      <c r="AA154" s="99"/>
      <c r="AB154" s="99"/>
      <c r="AC154" s="99"/>
      <c r="AD154" s="100"/>
      <c r="AE154" s="100"/>
      <c r="AF154" s="100"/>
      <c r="AG154" s="100"/>
    </row>
    <row r="155" spans="1:33" ht="15.6" x14ac:dyDescent="0.3">
      <c r="A155" s="13" t="s">
        <v>208</v>
      </c>
      <c r="B155" s="2">
        <v>46191</v>
      </c>
      <c r="C155" s="1" t="s">
        <v>25</v>
      </c>
      <c r="D155" s="1" t="s">
        <v>26</v>
      </c>
      <c r="E155" s="1" t="s">
        <v>37</v>
      </c>
      <c r="F155" s="1">
        <v>104</v>
      </c>
      <c r="G155" s="1">
        <v>47</v>
      </c>
      <c r="H155" s="1">
        <v>212</v>
      </c>
      <c r="I155" s="1">
        <v>68</v>
      </c>
      <c r="J155" s="14" t="s">
        <v>19</v>
      </c>
      <c r="K155" s="1" t="str">
        <f>_xlfn.XLOOKUP(C155,[1]Sheet!$A:$A,[1]Sheet!$B:$B,"Not Found")</f>
        <v>Component 40</v>
      </c>
      <c r="L155" s="1" t="str">
        <f>_xlfn.XLOOKUP(C155,[1]Sheet!$A:$A,[1]Sheet!$C:$C,"Not Found")</f>
        <v>Mechanical</v>
      </c>
      <c r="M155" s="29">
        <f>_xlfn.XLOOKUP(C155,[1]Sheet!$A:$A,[1]Sheet!$D:$D,"Not Found")</f>
        <v>180</v>
      </c>
      <c r="N155" s="1" t="str">
        <f>_xlfn.XLOOKUP(C155,[1]Sheet!$A:$A,[1]Sheet!$E:$E,"Not Found")</f>
        <v>Central</v>
      </c>
      <c r="O155" s="1">
        <f>_xlfn.XLOOKUP(C155,[1]Sheet!$A:$A,[1]Sheet!$F:$F,"Not Found")</f>
        <v>19</v>
      </c>
      <c r="P155" s="1" t="str">
        <f>_xlfn.XLOOKUP(C155,[1]Sheet!$A:$A,[1]Sheet!$G:$G,"Not Found")</f>
        <v>Medium</v>
      </c>
      <c r="Q155" s="32">
        <f>Table1[[#This Row],[Current Stock]]*Table1[[#This Row],[Unit Cost (Currency)]]</f>
        <v>38160</v>
      </c>
      <c r="S155" s="99"/>
      <c r="T155" s="99"/>
      <c r="U155" s="99"/>
      <c r="V155" s="99"/>
      <c r="W155" s="99"/>
      <c r="X155" s="99"/>
      <c r="Y155" s="99"/>
      <c r="Z155" s="99"/>
      <c r="AA155" s="99"/>
      <c r="AB155" s="99"/>
      <c r="AC155" s="99"/>
      <c r="AD155" s="100"/>
      <c r="AE155" s="100"/>
      <c r="AF155" s="100"/>
      <c r="AG155" s="100"/>
    </row>
    <row r="156" spans="1:33" ht="15.6" x14ac:dyDescent="0.3">
      <c r="A156" s="13" t="s">
        <v>209</v>
      </c>
      <c r="B156" s="2">
        <v>46208</v>
      </c>
      <c r="C156" s="1" t="s">
        <v>86</v>
      </c>
      <c r="D156" s="1" t="s">
        <v>12</v>
      </c>
      <c r="E156" s="1" t="s">
        <v>37</v>
      </c>
      <c r="F156" s="1">
        <v>86</v>
      </c>
      <c r="G156" s="1">
        <v>10</v>
      </c>
      <c r="H156" s="1">
        <v>117</v>
      </c>
      <c r="I156" s="1">
        <v>23</v>
      </c>
      <c r="J156" s="14" t="s">
        <v>19</v>
      </c>
      <c r="K156" s="1" t="str">
        <f>_xlfn.XLOOKUP(C156,[1]Sheet!$A:$A,[1]Sheet!$B:$B,"Not Found")</f>
        <v>Component 33</v>
      </c>
      <c r="L156" s="1" t="str">
        <f>_xlfn.XLOOKUP(C156,[1]Sheet!$A:$A,[1]Sheet!$C:$C,"Not Found")</f>
        <v>Packaging</v>
      </c>
      <c r="M156" s="29">
        <f>_xlfn.XLOOKUP(C156,[1]Sheet!$A:$A,[1]Sheet!$D:$D,"Not Found")</f>
        <v>293</v>
      </c>
      <c r="N156" s="1" t="str">
        <f>_xlfn.XLOOKUP(C156,[1]Sheet!$A:$A,[1]Sheet!$E:$E,"Not Found")</f>
        <v>Delta</v>
      </c>
      <c r="O156" s="1">
        <f>_xlfn.XLOOKUP(C156,[1]Sheet!$A:$A,[1]Sheet!$F:$F,"Not Found")</f>
        <v>15</v>
      </c>
      <c r="P156" s="1" t="str">
        <f>_xlfn.XLOOKUP(C156,[1]Sheet!$A:$A,[1]Sheet!$G:$G,"Not Found")</f>
        <v>Low</v>
      </c>
      <c r="Q156" s="32">
        <f>Table1[[#This Row],[Current Stock]]*Table1[[#This Row],[Unit Cost (Currency)]]</f>
        <v>34281</v>
      </c>
      <c r="S156" s="99" t="s">
        <v>399</v>
      </c>
      <c r="T156" s="99"/>
      <c r="U156" s="99"/>
      <c r="V156" s="99"/>
      <c r="W156" s="99"/>
      <c r="X156" s="99"/>
      <c r="Y156" s="99"/>
      <c r="Z156" s="99"/>
      <c r="AA156" s="99"/>
      <c r="AB156" s="99"/>
      <c r="AC156" s="99"/>
      <c r="AD156" s="100"/>
      <c r="AE156" s="100"/>
      <c r="AF156" s="100"/>
      <c r="AG156" s="100"/>
    </row>
    <row r="157" spans="1:33" ht="15.6" x14ac:dyDescent="0.3">
      <c r="A157" s="13" t="s">
        <v>210</v>
      </c>
      <c r="B157" s="2">
        <v>46188</v>
      </c>
      <c r="C157" s="1" t="s">
        <v>63</v>
      </c>
      <c r="D157" s="1" t="s">
        <v>12</v>
      </c>
      <c r="E157" s="1" t="s">
        <v>13</v>
      </c>
      <c r="F157" s="1">
        <v>96</v>
      </c>
      <c r="G157" s="1">
        <v>19</v>
      </c>
      <c r="H157" s="1">
        <v>189</v>
      </c>
      <c r="I157" s="1">
        <v>43</v>
      </c>
      <c r="J157" s="14" t="s">
        <v>19</v>
      </c>
      <c r="K157" s="1" t="str">
        <f>_xlfn.XLOOKUP(C157,[1]Sheet!$A:$A,[1]Sheet!$B:$B,"Not Found")</f>
        <v>Component 32</v>
      </c>
      <c r="L157" s="1" t="str">
        <f>_xlfn.XLOOKUP(C157,[1]Sheet!$A:$A,[1]Sheet!$C:$C,"Not Found")</f>
        <v>Packaging</v>
      </c>
      <c r="M157" s="29">
        <f>_xlfn.XLOOKUP(C157,[1]Sheet!$A:$A,[1]Sheet!$D:$D,"Not Found")</f>
        <v>282</v>
      </c>
      <c r="N157" s="1" t="str">
        <f>_xlfn.XLOOKUP(C157,[1]Sheet!$A:$A,[1]Sheet!$E:$E,"Not Found")</f>
        <v>Alpha</v>
      </c>
      <c r="O157" s="1">
        <f>_xlfn.XLOOKUP(C157,[1]Sheet!$A:$A,[1]Sheet!$F:$F,"Not Found")</f>
        <v>21</v>
      </c>
      <c r="P157" s="1" t="str">
        <f>_xlfn.XLOOKUP(C157,[1]Sheet!$A:$A,[1]Sheet!$G:$G,"Not Found")</f>
        <v>High</v>
      </c>
      <c r="Q157" s="32">
        <f>Table1[[#This Row],[Current Stock]]*Table1[[#This Row],[Unit Cost (Currency)]]</f>
        <v>53298</v>
      </c>
      <c r="S157" s="99" t="s">
        <v>400</v>
      </c>
      <c r="T157" s="99"/>
      <c r="U157" s="99"/>
      <c r="V157" s="99"/>
      <c r="W157" s="99"/>
      <c r="X157" s="99"/>
      <c r="Y157" s="99"/>
      <c r="Z157" s="99"/>
      <c r="AA157" s="99"/>
      <c r="AB157" s="99"/>
      <c r="AC157" s="99"/>
      <c r="AD157" s="100"/>
      <c r="AE157" s="100"/>
      <c r="AF157" s="100"/>
      <c r="AG157" s="100"/>
    </row>
    <row r="158" spans="1:33" ht="15.6" x14ac:dyDescent="0.3">
      <c r="A158" s="13" t="s">
        <v>211</v>
      </c>
      <c r="B158" s="2">
        <v>46198</v>
      </c>
      <c r="C158" s="1" t="s">
        <v>33</v>
      </c>
      <c r="D158" s="1" t="s">
        <v>17</v>
      </c>
      <c r="E158" s="1" t="s">
        <v>18</v>
      </c>
      <c r="F158" s="1">
        <v>72</v>
      </c>
      <c r="G158" s="1">
        <v>0</v>
      </c>
      <c r="H158" s="1">
        <v>81</v>
      </c>
      <c r="I158" s="1">
        <v>45</v>
      </c>
      <c r="J158" s="14" t="s">
        <v>19</v>
      </c>
      <c r="K158" s="1" t="str">
        <f>_xlfn.XLOOKUP(C158,[1]Sheet!$A:$A,[1]Sheet!$B:$B,"Not Found")</f>
        <v>Component 10</v>
      </c>
      <c r="L158" s="1" t="str">
        <f>_xlfn.XLOOKUP(C158,[1]Sheet!$A:$A,[1]Sheet!$C:$C,"Not Found")</f>
        <v>Packaging</v>
      </c>
      <c r="M158" s="29">
        <f>_xlfn.XLOOKUP(C158,[1]Sheet!$A:$A,[1]Sheet!$D:$D,"Not Found")</f>
        <v>90</v>
      </c>
      <c r="N158" s="1" t="str">
        <f>_xlfn.XLOOKUP(C158,[1]Sheet!$A:$A,[1]Sheet!$E:$E,"Not Found")</f>
        <v>Central</v>
      </c>
      <c r="O158" s="1">
        <f>_xlfn.XLOOKUP(C158,[1]Sheet!$A:$A,[1]Sheet!$F:$F,"Not Found")</f>
        <v>7</v>
      </c>
      <c r="P158" s="1" t="str">
        <f>_xlfn.XLOOKUP(C158,[1]Sheet!$A:$A,[1]Sheet!$G:$G,"Not Found")</f>
        <v>Medium</v>
      </c>
      <c r="Q158" s="32">
        <f>Table1[[#This Row],[Current Stock]]*Table1[[#This Row],[Unit Cost (Currency)]]</f>
        <v>7290</v>
      </c>
      <c r="S158" s="99" t="s">
        <v>401</v>
      </c>
      <c r="T158" s="99"/>
      <c r="U158" s="99"/>
      <c r="V158" s="99"/>
      <c r="W158" s="99"/>
      <c r="X158" s="99"/>
      <c r="Y158" s="99"/>
      <c r="Z158" s="99"/>
      <c r="AA158" s="99"/>
      <c r="AB158" s="99"/>
      <c r="AC158" s="99"/>
      <c r="AD158" s="100"/>
      <c r="AE158" s="100"/>
      <c r="AF158" s="100"/>
      <c r="AG158" s="100"/>
    </row>
    <row r="159" spans="1:33" ht="15.6" customHeight="1" x14ac:dyDescent="0.3">
      <c r="A159" s="13" t="s">
        <v>212</v>
      </c>
      <c r="B159" s="2">
        <v>46188</v>
      </c>
      <c r="C159" s="1" t="s">
        <v>65</v>
      </c>
      <c r="D159" s="1" t="s">
        <v>12</v>
      </c>
      <c r="E159" s="1" t="s">
        <v>18</v>
      </c>
      <c r="F159" s="1">
        <v>32</v>
      </c>
      <c r="G159" s="1">
        <v>41</v>
      </c>
      <c r="H159" s="1">
        <v>38</v>
      </c>
      <c r="I159" s="1">
        <v>56</v>
      </c>
      <c r="J159" s="14" t="s">
        <v>14</v>
      </c>
      <c r="K159" s="1" t="str">
        <f>_xlfn.XLOOKUP(C159,[1]Sheet!$A:$A,[1]Sheet!$B:$B,"Not Found")</f>
        <v>Component 37</v>
      </c>
      <c r="L159" s="1" t="str">
        <f>_xlfn.XLOOKUP(C159,[1]Sheet!$A:$A,[1]Sheet!$C:$C,"Not Found")</f>
        <v>Packaging</v>
      </c>
      <c r="M159" s="29">
        <f>_xlfn.XLOOKUP(C159,[1]Sheet!$A:$A,[1]Sheet!$D:$D,"Not Found")</f>
        <v>186</v>
      </c>
      <c r="N159" s="1" t="str">
        <f>_xlfn.XLOOKUP(C159,[1]Sheet!$A:$A,[1]Sheet!$E:$E,"Not Found")</f>
        <v>Central</v>
      </c>
      <c r="O159" s="1">
        <f>_xlfn.XLOOKUP(C159,[1]Sheet!$A:$A,[1]Sheet!$F:$F,"Not Found")</f>
        <v>19</v>
      </c>
      <c r="P159" s="1" t="str">
        <f>_xlfn.XLOOKUP(C159,[1]Sheet!$A:$A,[1]Sheet!$G:$G,"Not Found")</f>
        <v>Medium</v>
      </c>
      <c r="Q159" s="32">
        <f>Table1[[#This Row],[Current Stock]]*Table1[[#This Row],[Unit Cost (Currency)]]</f>
        <v>7068</v>
      </c>
      <c r="S159" s="218" t="s">
        <v>402</v>
      </c>
      <c r="T159" s="218"/>
      <c r="U159" s="218"/>
      <c r="V159" s="218"/>
      <c r="W159" s="218"/>
      <c r="X159" s="218"/>
      <c r="Y159" s="218"/>
      <c r="Z159" s="218"/>
      <c r="AA159" s="218"/>
      <c r="AB159" s="218"/>
      <c r="AC159" s="218"/>
      <c r="AD159" s="218"/>
      <c r="AE159" s="218"/>
      <c r="AF159" s="218"/>
      <c r="AG159" s="100"/>
    </row>
    <row r="160" spans="1:33" ht="15.6" customHeight="1" x14ac:dyDescent="0.3">
      <c r="A160" s="13" t="s">
        <v>213</v>
      </c>
      <c r="B160" s="2">
        <v>46207</v>
      </c>
      <c r="C160" s="1" t="s">
        <v>61</v>
      </c>
      <c r="D160" s="1" t="s">
        <v>12</v>
      </c>
      <c r="E160" s="1" t="s">
        <v>13</v>
      </c>
      <c r="F160" s="1">
        <v>76</v>
      </c>
      <c r="G160" s="1">
        <v>54</v>
      </c>
      <c r="H160" s="1">
        <v>46</v>
      </c>
      <c r="I160" s="1">
        <v>31</v>
      </c>
      <c r="J160" s="14" t="s">
        <v>19</v>
      </c>
      <c r="K160" s="1" t="str">
        <f>_xlfn.XLOOKUP(C160,[1]Sheet!$A:$A,[1]Sheet!$B:$B,"Not Found")</f>
        <v>Component 2</v>
      </c>
      <c r="L160" s="1" t="str">
        <f>_xlfn.XLOOKUP(C160,[1]Sheet!$A:$A,[1]Sheet!$C:$C,"Not Found")</f>
        <v>Packaging</v>
      </c>
      <c r="M160" s="29">
        <f>_xlfn.XLOOKUP(C160,[1]Sheet!$A:$A,[1]Sheet!$D:$D,"Not Found")</f>
        <v>109</v>
      </c>
      <c r="N160" s="1" t="str">
        <f>_xlfn.XLOOKUP(C160,[1]Sheet!$A:$A,[1]Sheet!$E:$E,"Not Found")</f>
        <v>Alpha</v>
      </c>
      <c r="O160" s="1">
        <f>_xlfn.XLOOKUP(C160,[1]Sheet!$A:$A,[1]Sheet!$F:$F,"Not Found")</f>
        <v>10</v>
      </c>
      <c r="P160" s="1" t="str">
        <f>_xlfn.XLOOKUP(C160,[1]Sheet!$A:$A,[1]Sheet!$G:$G,"Not Found")</f>
        <v>Medium</v>
      </c>
      <c r="Q160" s="32">
        <f>Table1[[#This Row],[Current Stock]]*Table1[[#This Row],[Unit Cost (Currency)]]</f>
        <v>5014</v>
      </c>
      <c r="S160" s="218"/>
      <c r="T160" s="218"/>
      <c r="U160" s="218"/>
      <c r="V160" s="218"/>
      <c r="W160" s="218"/>
      <c r="X160" s="218"/>
      <c r="Y160" s="218"/>
      <c r="Z160" s="218"/>
      <c r="AA160" s="218"/>
      <c r="AB160" s="218"/>
      <c r="AC160" s="218"/>
      <c r="AD160" s="218"/>
      <c r="AE160" s="218"/>
      <c r="AF160" s="218"/>
      <c r="AG160" s="100"/>
    </row>
    <row r="161" spans="1:33" ht="15.6" customHeight="1" x14ac:dyDescent="0.3">
      <c r="A161" s="13" t="s">
        <v>214</v>
      </c>
      <c r="B161" s="2">
        <v>46198</v>
      </c>
      <c r="C161" s="1" t="s">
        <v>49</v>
      </c>
      <c r="D161" s="1" t="s">
        <v>17</v>
      </c>
      <c r="E161" s="1" t="s">
        <v>37</v>
      </c>
      <c r="F161" s="1">
        <v>57</v>
      </c>
      <c r="G161" s="1">
        <v>8</v>
      </c>
      <c r="H161" s="1">
        <v>187</v>
      </c>
      <c r="I161" s="1">
        <v>72</v>
      </c>
      <c r="J161" s="14" t="s">
        <v>14</v>
      </c>
      <c r="K161" s="1" t="str">
        <f>_xlfn.XLOOKUP(C161,[1]Sheet!$A:$A,[1]Sheet!$B:$B,"Not Found")</f>
        <v>Component 31</v>
      </c>
      <c r="L161" s="1" t="str">
        <f>_xlfn.XLOOKUP(C161,[1]Sheet!$A:$A,[1]Sheet!$C:$C,"Not Found")</f>
        <v>Mechanical</v>
      </c>
      <c r="M161" s="29">
        <f>_xlfn.XLOOKUP(C161,[1]Sheet!$A:$A,[1]Sheet!$D:$D,"Not Found")</f>
        <v>462</v>
      </c>
      <c r="N161" s="1" t="str">
        <f>_xlfn.XLOOKUP(C161,[1]Sheet!$A:$A,[1]Sheet!$E:$E,"Not Found")</f>
        <v>Central</v>
      </c>
      <c r="O161" s="1">
        <f>_xlfn.XLOOKUP(C161,[1]Sheet!$A:$A,[1]Sheet!$F:$F,"Not Found")</f>
        <v>10</v>
      </c>
      <c r="P161" s="1" t="str">
        <f>_xlfn.XLOOKUP(C161,[1]Sheet!$A:$A,[1]Sheet!$G:$G,"Not Found")</f>
        <v>Low</v>
      </c>
      <c r="Q161" s="32">
        <f>Table1[[#This Row],[Current Stock]]*Table1[[#This Row],[Unit Cost (Currency)]]</f>
        <v>86394</v>
      </c>
      <c r="S161" s="218" t="s">
        <v>403</v>
      </c>
      <c r="T161" s="218"/>
      <c r="U161" s="218"/>
      <c r="V161" s="218"/>
      <c r="W161" s="218"/>
      <c r="X161" s="218"/>
      <c r="Y161" s="218"/>
      <c r="Z161" s="218"/>
      <c r="AA161" s="218"/>
      <c r="AB161" s="218"/>
      <c r="AC161" s="218"/>
      <c r="AD161" s="218"/>
      <c r="AE161" s="218"/>
      <c r="AF161" s="218"/>
      <c r="AG161" s="100"/>
    </row>
    <row r="162" spans="1:33" ht="15.6" customHeight="1" x14ac:dyDescent="0.3">
      <c r="A162" s="13" t="s">
        <v>215</v>
      </c>
      <c r="B162" s="2">
        <v>46176</v>
      </c>
      <c r="C162" s="1" t="s">
        <v>107</v>
      </c>
      <c r="D162" s="1" t="s">
        <v>17</v>
      </c>
      <c r="E162" s="1" t="s">
        <v>37</v>
      </c>
      <c r="F162" s="1">
        <v>13</v>
      </c>
      <c r="G162" s="1">
        <v>58</v>
      </c>
      <c r="H162" s="1">
        <v>39</v>
      </c>
      <c r="I162" s="1">
        <v>41</v>
      </c>
      <c r="J162" s="14" t="s">
        <v>14</v>
      </c>
      <c r="K162" s="1" t="str">
        <f>_xlfn.XLOOKUP(C162,[1]Sheet!$A:$A,[1]Sheet!$B:$B,"Not Found")</f>
        <v>Component 13</v>
      </c>
      <c r="L162" s="1" t="str">
        <f>_xlfn.XLOOKUP(C162,[1]Sheet!$A:$A,[1]Sheet!$C:$C,"Not Found")</f>
        <v>Packaging</v>
      </c>
      <c r="M162" s="29">
        <f>_xlfn.XLOOKUP(C162,[1]Sheet!$A:$A,[1]Sheet!$D:$D,"Not Found")</f>
        <v>494</v>
      </c>
      <c r="N162" s="1" t="str">
        <f>_xlfn.XLOOKUP(C162,[1]Sheet!$A:$A,[1]Sheet!$E:$E,"Not Found")</f>
        <v>Bravo</v>
      </c>
      <c r="O162" s="1">
        <f>_xlfn.XLOOKUP(C162,[1]Sheet!$A:$A,[1]Sheet!$F:$F,"Not Found")</f>
        <v>27</v>
      </c>
      <c r="P162" s="1" t="str">
        <f>_xlfn.XLOOKUP(C162,[1]Sheet!$A:$A,[1]Sheet!$G:$G,"Not Found")</f>
        <v>Low</v>
      </c>
      <c r="Q162" s="32">
        <f>Table1[[#This Row],[Current Stock]]*Table1[[#This Row],[Unit Cost (Currency)]]</f>
        <v>19266</v>
      </c>
      <c r="S162" s="218"/>
      <c r="T162" s="218"/>
      <c r="U162" s="218"/>
      <c r="V162" s="218"/>
      <c r="W162" s="218"/>
      <c r="X162" s="218"/>
      <c r="Y162" s="218"/>
      <c r="Z162" s="218"/>
      <c r="AA162" s="218"/>
      <c r="AB162" s="218"/>
      <c r="AC162" s="218"/>
      <c r="AD162" s="218"/>
      <c r="AE162" s="218"/>
      <c r="AF162" s="218"/>
      <c r="AG162" s="100"/>
    </row>
    <row r="163" spans="1:33" ht="15.6" x14ac:dyDescent="0.3">
      <c r="A163" s="13" t="s">
        <v>216</v>
      </c>
      <c r="B163" s="2">
        <v>46196</v>
      </c>
      <c r="C163" s="1" t="s">
        <v>35</v>
      </c>
      <c r="D163" s="1" t="s">
        <v>12</v>
      </c>
      <c r="E163" s="1" t="s">
        <v>18</v>
      </c>
      <c r="F163" s="1">
        <v>102</v>
      </c>
      <c r="G163" s="1">
        <v>67</v>
      </c>
      <c r="H163" s="1">
        <v>134</v>
      </c>
      <c r="I163" s="1">
        <v>22</v>
      </c>
      <c r="J163" s="14" t="s">
        <v>19</v>
      </c>
      <c r="K163" s="1" t="str">
        <f>_xlfn.XLOOKUP(C163,[1]Sheet!$A:$A,[1]Sheet!$B:$B,"Not Found")</f>
        <v>Component 12</v>
      </c>
      <c r="L163" s="1" t="str">
        <f>_xlfn.XLOOKUP(C163,[1]Sheet!$A:$A,[1]Sheet!$C:$C,"Not Found")</f>
        <v>Packaging</v>
      </c>
      <c r="M163" s="29">
        <f>_xlfn.XLOOKUP(C163,[1]Sheet!$A:$A,[1]Sheet!$D:$D,"Not Found")</f>
        <v>365</v>
      </c>
      <c r="N163" s="1" t="str">
        <f>_xlfn.XLOOKUP(C163,[1]Sheet!$A:$A,[1]Sheet!$E:$E,"Not Found")</f>
        <v>Delta</v>
      </c>
      <c r="O163" s="1">
        <f>_xlfn.XLOOKUP(C163,[1]Sheet!$A:$A,[1]Sheet!$F:$F,"Not Found")</f>
        <v>6</v>
      </c>
      <c r="P163" s="1" t="str">
        <f>_xlfn.XLOOKUP(C163,[1]Sheet!$A:$A,[1]Sheet!$G:$G,"Not Found")</f>
        <v>Low</v>
      </c>
      <c r="Q163" s="32">
        <f>Table1[[#This Row],[Current Stock]]*Table1[[#This Row],[Unit Cost (Currency)]]</f>
        <v>48910</v>
      </c>
      <c r="S163" s="99" t="s">
        <v>404</v>
      </c>
      <c r="T163" s="99"/>
      <c r="U163" s="99"/>
      <c r="V163" s="99"/>
      <c r="W163" s="99"/>
      <c r="X163" s="99"/>
      <c r="Y163" s="99"/>
      <c r="Z163" s="99"/>
      <c r="AA163" s="99"/>
      <c r="AB163" s="99"/>
      <c r="AC163" s="99"/>
      <c r="AD163" s="100"/>
      <c r="AE163" s="100"/>
      <c r="AF163" s="100"/>
      <c r="AG163" s="100"/>
    </row>
    <row r="164" spans="1:33" ht="15.6" x14ac:dyDescent="0.3">
      <c r="A164" s="13" t="s">
        <v>217</v>
      </c>
      <c r="B164" s="2">
        <v>46200</v>
      </c>
      <c r="C164" s="1" t="s">
        <v>57</v>
      </c>
      <c r="D164" s="1" t="s">
        <v>12</v>
      </c>
      <c r="E164" s="1" t="s">
        <v>13</v>
      </c>
      <c r="F164" s="1">
        <v>70</v>
      </c>
      <c r="G164" s="1">
        <v>38</v>
      </c>
      <c r="H164" s="1">
        <v>249</v>
      </c>
      <c r="I164" s="1">
        <v>53</v>
      </c>
      <c r="J164" s="14" t="s">
        <v>14</v>
      </c>
      <c r="K164" s="1" t="str">
        <f>_xlfn.XLOOKUP(C164,[1]Sheet!$A:$A,[1]Sheet!$B:$B,"Not Found")</f>
        <v>Component 11</v>
      </c>
      <c r="L164" s="1" t="str">
        <f>_xlfn.XLOOKUP(C164,[1]Sheet!$A:$A,[1]Sheet!$C:$C,"Not Found")</f>
        <v>Electrical</v>
      </c>
      <c r="M164" s="29">
        <f>_xlfn.XLOOKUP(C164,[1]Sheet!$A:$A,[1]Sheet!$D:$D,"Not Found")</f>
        <v>386</v>
      </c>
      <c r="N164" s="1" t="str">
        <f>_xlfn.XLOOKUP(C164,[1]Sheet!$A:$A,[1]Sheet!$E:$E,"Not Found")</f>
        <v>Central</v>
      </c>
      <c r="O164" s="1">
        <f>_xlfn.XLOOKUP(C164,[1]Sheet!$A:$A,[1]Sheet!$F:$F,"Not Found")</f>
        <v>19</v>
      </c>
      <c r="P164" s="1" t="str">
        <f>_xlfn.XLOOKUP(C164,[1]Sheet!$A:$A,[1]Sheet!$G:$G,"Not Found")</f>
        <v>High</v>
      </c>
      <c r="Q164" s="32">
        <f>Table1[[#This Row],[Current Stock]]*Table1[[#This Row],[Unit Cost (Currency)]]</f>
        <v>96114</v>
      </c>
      <c r="S164" s="99" t="s">
        <v>405</v>
      </c>
      <c r="T164" s="99"/>
      <c r="U164" s="99"/>
      <c r="V164" s="99"/>
      <c r="W164" s="99"/>
      <c r="X164" s="99"/>
      <c r="Y164" s="99"/>
      <c r="Z164" s="99"/>
      <c r="AA164" s="99"/>
      <c r="AB164" s="99"/>
      <c r="AC164" s="99"/>
      <c r="AD164" s="100"/>
      <c r="AE164" s="100"/>
      <c r="AF164" s="100"/>
      <c r="AG164" s="100"/>
    </row>
    <row r="165" spans="1:33" ht="15.6" x14ac:dyDescent="0.3">
      <c r="A165" s="13" t="s">
        <v>218</v>
      </c>
      <c r="B165" s="2">
        <v>46217</v>
      </c>
      <c r="C165" s="1" t="s">
        <v>140</v>
      </c>
      <c r="D165" s="1" t="s">
        <v>26</v>
      </c>
      <c r="E165" s="1" t="s">
        <v>18</v>
      </c>
      <c r="F165" s="1">
        <v>103</v>
      </c>
      <c r="G165" s="1">
        <v>42</v>
      </c>
      <c r="H165" s="1">
        <v>124</v>
      </c>
      <c r="I165" s="1">
        <v>65</v>
      </c>
      <c r="J165" s="14" t="s">
        <v>14</v>
      </c>
      <c r="K165" s="1" t="str">
        <f>_xlfn.XLOOKUP(C165,[1]Sheet!$A:$A,[1]Sheet!$B:$B,"Not Found")</f>
        <v>Component 29</v>
      </c>
      <c r="L165" s="1" t="str">
        <f>_xlfn.XLOOKUP(C165,[1]Sheet!$A:$A,[1]Sheet!$C:$C,"Not Found")</f>
        <v>Packaging</v>
      </c>
      <c r="M165" s="29">
        <f>_xlfn.XLOOKUP(C165,[1]Sheet!$A:$A,[1]Sheet!$D:$D,"Not Found")</f>
        <v>73</v>
      </c>
      <c r="N165" s="1" t="str">
        <f>_xlfn.XLOOKUP(C165,[1]Sheet!$A:$A,[1]Sheet!$E:$E,"Not Found")</f>
        <v>Delta</v>
      </c>
      <c r="O165" s="1">
        <f>_xlfn.XLOOKUP(C165,[1]Sheet!$A:$A,[1]Sheet!$F:$F,"Not Found")</f>
        <v>25</v>
      </c>
      <c r="P165" s="1" t="str">
        <f>_xlfn.XLOOKUP(C165,[1]Sheet!$A:$A,[1]Sheet!$G:$G,"Not Found")</f>
        <v>Low</v>
      </c>
      <c r="Q165" s="32">
        <f>Table1[[#This Row],[Current Stock]]*Table1[[#This Row],[Unit Cost (Currency)]]</f>
        <v>9052</v>
      </c>
      <c r="S165" s="99"/>
      <c r="T165" s="99"/>
      <c r="U165" s="99"/>
      <c r="V165" s="99"/>
      <c r="W165" s="99"/>
      <c r="X165" s="99"/>
      <c r="Y165" s="99"/>
      <c r="Z165" s="99"/>
      <c r="AA165" s="99"/>
      <c r="AB165" s="99"/>
      <c r="AC165" s="99"/>
      <c r="AD165" s="100"/>
      <c r="AE165" s="100"/>
      <c r="AF165" s="100"/>
      <c r="AG165" s="100"/>
    </row>
    <row r="166" spans="1:33" ht="15.6" x14ac:dyDescent="0.3">
      <c r="A166" s="13" t="s">
        <v>219</v>
      </c>
      <c r="B166" s="2">
        <v>46218</v>
      </c>
      <c r="C166" s="1" t="s">
        <v>88</v>
      </c>
      <c r="D166" s="1" t="s">
        <v>26</v>
      </c>
      <c r="E166" s="1" t="s">
        <v>37</v>
      </c>
      <c r="F166" s="1">
        <v>24</v>
      </c>
      <c r="G166" s="1">
        <v>58</v>
      </c>
      <c r="H166" s="1">
        <v>103</v>
      </c>
      <c r="I166" s="1">
        <v>37</v>
      </c>
      <c r="J166" s="14" t="s">
        <v>19</v>
      </c>
      <c r="K166" s="1" t="str">
        <f>_xlfn.XLOOKUP(C166,[1]Sheet!$A:$A,[1]Sheet!$B:$B,"Not Found")</f>
        <v>Component 30</v>
      </c>
      <c r="L166" s="1" t="str">
        <f>_xlfn.XLOOKUP(C166,[1]Sheet!$A:$A,[1]Sheet!$C:$C,"Not Found")</f>
        <v>Packaging</v>
      </c>
      <c r="M166" s="29">
        <f>_xlfn.XLOOKUP(C166,[1]Sheet!$A:$A,[1]Sheet!$D:$D,"Not Found")</f>
        <v>190</v>
      </c>
      <c r="N166" s="1" t="str">
        <f>_xlfn.XLOOKUP(C166,[1]Sheet!$A:$A,[1]Sheet!$E:$E,"Not Found")</f>
        <v>Alpha</v>
      </c>
      <c r="O166" s="1">
        <f>_xlfn.XLOOKUP(C166,[1]Sheet!$A:$A,[1]Sheet!$F:$F,"Not Found")</f>
        <v>11</v>
      </c>
      <c r="P166" s="1" t="str">
        <f>_xlfn.XLOOKUP(C166,[1]Sheet!$A:$A,[1]Sheet!$G:$G,"Not Found")</f>
        <v>High</v>
      </c>
      <c r="Q166" s="32">
        <f>Table1[[#This Row],[Current Stock]]*Table1[[#This Row],[Unit Cost (Currency)]]</f>
        <v>19570</v>
      </c>
      <c r="S166" s="5"/>
      <c r="T166" s="5"/>
      <c r="U166" s="5"/>
      <c r="V166" s="5"/>
      <c r="W166" s="5"/>
      <c r="X166" s="5"/>
      <c r="Y166" s="5"/>
      <c r="Z166" s="5"/>
      <c r="AA166" s="5"/>
      <c r="AB166" s="5"/>
      <c r="AC166" s="5"/>
    </row>
    <row r="167" spans="1:33" ht="21" x14ac:dyDescent="0.4">
      <c r="A167" s="13" t="s">
        <v>220</v>
      </c>
      <c r="B167" s="2">
        <v>46177</v>
      </c>
      <c r="C167" s="1" t="s">
        <v>44</v>
      </c>
      <c r="D167" s="1" t="s">
        <v>26</v>
      </c>
      <c r="E167" s="1" t="s">
        <v>13</v>
      </c>
      <c r="F167" s="1">
        <v>64</v>
      </c>
      <c r="G167" s="1">
        <v>64</v>
      </c>
      <c r="H167" s="1">
        <v>104</v>
      </c>
      <c r="I167" s="1">
        <v>55</v>
      </c>
      <c r="J167" s="14" t="s">
        <v>19</v>
      </c>
      <c r="K167" s="1" t="str">
        <f>_xlfn.XLOOKUP(C167,[1]Sheet!$A:$A,[1]Sheet!$B:$B,"Not Found")</f>
        <v>Component 9</v>
      </c>
      <c r="L167" s="1" t="str">
        <f>_xlfn.XLOOKUP(C167,[1]Sheet!$A:$A,[1]Sheet!$C:$C,"Not Found")</f>
        <v>Mechanical</v>
      </c>
      <c r="M167" s="29">
        <f>_xlfn.XLOOKUP(C167,[1]Sheet!$A:$A,[1]Sheet!$D:$D,"Not Found")</f>
        <v>209</v>
      </c>
      <c r="N167" s="1" t="str">
        <f>_xlfn.XLOOKUP(C167,[1]Sheet!$A:$A,[1]Sheet!$E:$E,"Not Found")</f>
        <v>Bravo</v>
      </c>
      <c r="O167" s="1">
        <f>_xlfn.XLOOKUP(C167,[1]Sheet!$A:$A,[1]Sheet!$F:$F,"Not Found")</f>
        <v>10</v>
      </c>
      <c r="P167" s="1" t="str">
        <f>_xlfn.XLOOKUP(C167,[1]Sheet!$A:$A,[1]Sheet!$G:$G,"Not Found")</f>
        <v>Low</v>
      </c>
      <c r="Q167" s="32">
        <f>Table1[[#This Row],[Current Stock]]*Table1[[#This Row],[Unit Cost (Currency)]]</f>
        <v>21736</v>
      </c>
      <c r="S167" s="101" t="s">
        <v>406</v>
      </c>
      <c r="T167" s="102"/>
      <c r="U167" s="102"/>
      <c r="V167" s="102"/>
      <c r="W167" s="102"/>
      <c r="X167" s="102"/>
      <c r="Y167" s="102"/>
      <c r="Z167" s="102"/>
      <c r="AA167" s="102"/>
      <c r="AB167" s="102"/>
      <c r="AC167" s="102"/>
      <c r="AD167" s="103"/>
      <c r="AE167" s="103"/>
      <c r="AF167" s="103"/>
      <c r="AG167" s="103"/>
    </row>
    <row r="168" spans="1:33" ht="15.6" x14ac:dyDescent="0.3">
      <c r="A168" s="13" t="s">
        <v>221</v>
      </c>
      <c r="B168" s="2">
        <v>46195</v>
      </c>
      <c r="C168" s="1" t="s">
        <v>65</v>
      </c>
      <c r="D168" s="1" t="s">
        <v>17</v>
      </c>
      <c r="E168" s="1" t="s">
        <v>13</v>
      </c>
      <c r="F168" s="1">
        <v>56</v>
      </c>
      <c r="G168" s="1">
        <v>44</v>
      </c>
      <c r="H168" s="1">
        <v>7</v>
      </c>
      <c r="I168" s="1">
        <v>64</v>
      </c>
      <c r="J168" s="14" t="s">
        <v>14</v>
      </c>
      <c r="K168" s="1" t="str">
        <f>_xlfn.XLOOKUP(C168,[1]Sheet!$A:$A,[1]Sheet!$B:$B,"Not Found")</f>
        <v>Component 37</v>
      </c>
      <c r="L168" s="1" t="str">
        <f>_xlfn.XLOOKUP(C168,[1]Sheet!$A:$A,[1]Sheet!$C:$C,"Not Found")</f>
        <v>Packaging</v>
      </c>
      <c r="M168" s="29">
        <f>_xlfn.XLOOKUP(C168,[1]Sheet!$A:$A,[1]Sheet!$D:$D,"Not Found")</f>
        <v>186</v>
      </c>
      <c r="N168" s="1" t="str">
        <f>_xlfn.XLOOKUP(C168,[1]Sheet!$A:$A,[1]Sheet!$E:$E,"Not Found")</f>
        <v>Central</v>
      </c>
      <c r="O168" s="1">
        <f>_xlfn.XLOOKUP(C168,[1]Sheet!$A:$A,[1]Sheet!$F:$F,"Not Found")</f>
        <v>19</v>
      </c>
      <c r="P168" s="1" t="str">
        <f>_xlfn.XLOOKUP(C168,[1]Sheet!$A:$A,[1]Sheet!$G:$G,"Not Found")</f>
        <v>Medium</v>
      </c>
      <c r="Q168" s="32">
        <f>Table1[[#This Row],[Current Stock]]*Table1[[#This Row],[Unit Cost (Currency)]]</f>
        <v>1302</v>
      </c>
      <c r="S168" s="102"/>
      <c r="T168" s="102"/>
      <c r="U168" s="102"/>
      <c r="V168" s="102"/>
      <c r="W168" s="102"/>
      <c r="X168" s="102"/>
      <c r="Y168" s="102"/>
      <c r="Z168" s="102"/>
      <c r="AA168" s="102"/>
      <c r="AB168" s="102"/>
      <c r="AC168" s="102"/>
      <c r="AD168" s="103"/>
      <c r="AE168" s="103"/>
      <c r="AF168" s="103"/>
      <c r="AG168" s="103"/>
    </row>
    <row r="169" spans="1:33" ht="15.6" x14ac:dyDescent="0.3">
      <c r="A169" s="13" t="s">
        <v>222</v>
      </c>
      <c r="B169" s="2">
        <v>46219</v>
      </c>
      <c r="C169" s="1" t="s">
        <v>223</v>
      </c>
      <c r="D169" s="1" t="s">
        <v>17</v>
      </c>
      <c r="E169" s="1" t="s">
        <v>18</v>
      </c>
      <c r="F169" s="1">
        <v>81</v>
      </c>
      <c r="G169" s="1">
        <v>95</v>
      </c>
      <c r="H169" s="1">
        <v>54</v>
      </c>
      <c r="I169" s="1">
        <v>24</v>
      </c>
      <c r="J169" s="14" t="s">
        <v>14</v>
      </c>
      <c r="K169" s="1" t="str">
        <f>_xlfn.XLOOKUP(C169,[1]Sheet!$A:$A,[1]Sheet!$B:$B,"Not Found")</f>
        <v>Component 20</v>
      </c>
      <c r="L169" s="1" t="str">
        <f>_xlfn.XLOOKUP(C169,[1]Sheet!$A:$A,[1]Sheet!$C:$C,"Not Found")</f>
        <v>Mechanical</v>
      </c>
      <c r="M169" s="29">
        <f>_xlfn.XLOOKUP(C169,[1]Sheet!$A:$A,[1]Sheet!$D:$D,"Not Found")</f>
        <v>151</v>
      </c>
      <c r="N169" s="1" t="str">
        <f>_xlfn.XLOOKUP(C169,[1]Sheet!$A:$A,[1]Sheet!$E:$E,"Not Found")</f>
        <v>Delta</v>
      </c>
      <c r="O169" s="1">
        <f>_xlfn.XLOOKUP(C169,[1]Sheet!$A:$A,[1]Sheet!$F:$F,"Not Found")</f>
        <v>21</v>
      </c>
      <c r="P169" s="1" t="str">
        <f>_xlfn.XLOOKUP(C169,[1]Sheet!$A:$A,[1]Sheet!$G:$G,"Not Found")</f>
        <v>High</v>
      </c>
      <c r="Q169" s="32">
        <f>Table1[[#This Row],[Current Stock]]*Table1[[#This Row],[Unit Cost (Currency)]]</f>
        <v>8154</v>
      </c>
      <c r="S169" s="102" t="s">
        <v>407</v>
      </c>
      <c r="T169" s="102"/>
      <c r="U169" s="102"/>
      <c r="V169" s="102"/>
      <c r="W169" s="102"/>
      <c r="X169" s="102"/>
      <c r="Y169" s="102"/>
      <c r="Z169" s="102"/>
      <c r="AA169" s="102"/>
      <c r="AB169" s="102"/>
      <c r="AC169" s="102"/>
      <c r="AD169" s="103"/>
      <c r="AE169" s="103"/>
      <c r="AF169" s="103"/>
      <c r="AG169" s="103"/>
    </row>
    <row r="170" spans="1:33" ht="15.6" x14ac:dyDescent="0.3">
      <c r="A170" s="13" t="s">
        <v>224</v>
      </c>
      <c r="B170" s="2">
        <v>46176</v>
      </c>
      <c r="C170" s="1" t="s">
        <v>88</v>
      </c>
      <c r="D170" s="1" t="s">
        <v>12</v>
      </c>
      <c r="E170" s="1" t="s">
        <v>37</v>
      </c>
      <c r="F170" s="1">
        <v>47</v>
      </c>
      <c r="G170" s="1">
        <v>86</v>
      </c>
      <c r="H170" s="1">
        <v>59</v>
      </c>
      <c r="I170" s="1">
        <v>78</v>
      </c>
      <c r="J170" s="14" t="s">
        <v>14</v>
      </c>
      <c r="K170" s="1" t="str">
        <f>_xlfn.XLOOKUP(C170,[1]Sheet!$A:$A,[1]Sheet!$B:$B,"Not Found")</f>
        <v>Component 30</v>
      </c>
      <c r="L170" s="1" t="str">
        <f>_xlfn.XLOOKUP(C170,[1]Sheet!$A:$A,[1]Sheet!$C:$C,"Not Found")</f>
        <v>Packaging</v>
      </c>
      <c r="M170" s="29">
        <f>_xlfn.XLOOKUP(C170,[1]Sheet!$A:$A,[1]Sheet!$D:$D,"Not Found")</f>
        <v>190</v>
      </c>
      <c r="N170" s="1" t="str">
        <f>_xlfn.XLOOKUP(C170,[1]Sheet!$A:$A,[1]Sheet!$E:$E,"Not Found")</f>
        <v>Alpha</v>
      </c>
      <c r="O170" s="1">
        <f>_xlfn.XLOOKUP(C170,[1]Sheet!$A:$A,[1]Sheet!$F:$F,"Not Found")</f>
        <v>11</v>
      </c>
      <c r="P170" s="1" t="str">
        <f>_xlfn.XLOOKUP(C170,[1]Sheet!$A:$A,[1]Sheet!$G:$G,"Not Found")</f>
        <v>High</v>
      </c>
      <c r="Q170" s="32">
        <f>Table1[[#This Row],[Current Stock]]*Table1[[#This Row],[Unit Cost (Currency)]]</f>
        <v>11210</v>
      </c>
      <c r="S170" s="102"/>
      <c r="T170" s="102"/>
      <c r="U170" s="102"/>
      <c r="V170" s="102"/>
      <c r="W170" s="102"/>
      <c r="X170" s="102"/>
      <c r="Y170" s="102"/>
      <c r="Z170" s="102"/>
      <c r="AA170" s="102"/>
      <c r="AB170" s="102"/>
      <c r="AC170" s="102"/>
      <c r="AD170" s="103"/>
      <c r="AE170" s="103"/>
      <c r="AF170" s="103"/>
      <c r="AG170" s="103"/>
    </row>
    <row r="171" spans="1:33" ht="15.6" x14ac:dyDescent="0.3">
      <c r="A171" s="13" t="s">
        <v>225</v>
      </c>
      <c r="B171" s="2">
        <v>46201</v>
      </c>
      <c r="C171" s="1" t="s">
        <v>67</v>
      </c>
      <c r="D171" s="1" t="s">
        <v>26</v>
      </c>
      <c r="E171" s="1" t="s">
        <v>13</v>
      </c>
      <c r="F171" s="1">
        <v>61</v>
      </c>
      <c r="G171" s="1">
        <v>24</v>
      </c>
      <c r="H171" s="1">
        <v>12</v>
      </c>
      <c r="I171" s="1">
        <v>22</v>
      </c>
      <c r="J171" s="14" t="s">
        <v>14</v>
      </c>
      <c r="K171" s="1" t="str">
        <f>_xlfn.XLOOKUP(C171,[1]Sheet!$A:$A,[1]Sheet!$B:$B,"Not Found")</f>
        <v>Component 34</v>
      </c>
      <c r="L171" s="1" t="str">
        <f>_xlfn.XLOOKUP(C171,[1]Sheet!$A:$A,[1]Sheet!$C:$C,"Not Found")</f>
        <v>Electrical</v>
      </c>
      <c r="M171" s="29">
        <f>_xlfn.XLOOKUP(C171,[1]Sheet!$A:$A,[1]Sheet!$D:$D,"Not Found")</f>
        <v>71</v>
      </c>
      <c r="N171" s="1" t="str">
        <f>_xlfn.XLOOKUP(C171,[1]Sheet!$A:$A,[1]Sheet!$E:$E,"Not Found")</f>
        <v>Delta</v>
      </c>
      <c r="O171" s="1">
        <f>_xlfn.XLOOKUP(C171,[1]Sheet!$A:$A,[1]Sheet!$F:$F,"Not Found")</f>
        <v>24</v>
      </c>
      <c r="P171" s="1" t="str">
        <f>_xlfn.XLOOKUP(C171,[1]Sheet!$A:$A,[1]Sheet!$G:$G,"Not Found")</f>
        <v>Medium</v>
      </c>
      <c r="Q171" s="32">
        <f>Table1[[#This Row],[Current Stock]]*Table1[[#This Row],[Unit Cost (Currency)]]</f>
        <v>852</v>
      </c>
      <c r="S171" s="102" t="s">
        <v>408</v>
      </c>
      <c r="T171" s="102"/>
      <c r="U171" s="102"/>
      <c r="V171" s="102"/>
      <c r="W171" s="102"/>
      <c r="X171" s="102"/>
      <c r="Y171" s="102"/>
      <c r="Z171" s="102"/>
      <c r="AA171" s="102"/>
      <c r="AB171" s="102"/>
      <c r="AC171" s="102"/>
      <c r="AD171" s="103"/>
      <c r="AE171" s="103"/>
      <c r="AF171" s="103"/>
      <c r="AG171" s="103"/>
    </row>
    <row r="172" spans="1:33" ht="15.6" customHeight="1" x14ac:dyDescent="0.3">
      <c r="A172" s="13" t="s">
        <v>226</v>
      </c>
      <c r="B172" s="2">
        <v>46193</v>
      </c>
      <c r="C172" s="1" t="s">
        <v>16</v>
      </c>
      <c r="D172" s="1" t="s">
        <v>17</v>
      </c>
      <c r="E172" s="1" t="s">
        <v>18</v>
      </c>
      <c r="F172" s="1">
        <v>27</v>
      </c>
      <c r="G172" s="1">
        <v>8</v>
      </c>
      <c r="H172" s="1">
        <v>92</v>
      </c>
      <c r="I172" s="1">
        <v>29</v>
      </c>
      <c r="J172" s="14" t="s">
        <v>19</v>
      </c>
      <c r="K172" s="1" t="str">
        <f>_xlfn.XLOOKUP(C172,[1]Sheet!$A:$A,[1]Sheet!$B:$B,"Not Found")</f>
        <v>Component 39</v>
      </c>
      <c r="L172" s="1" t="str">
        <f>_xlfn.XLOOKUP(C172,[1]Sheet!$A:$A,[1]Sheet!$C:$C,"Not Found")</f>
        <v>Electrical</v>
      </c>
      <c r="M172" s="29">
        <f>_xlfn.XLOOKUP(C172,[1]Sheet!$A:$A,[1]Sheet!$D:$D,"Not Found")</f>
        <v>409</v>
      </c>
      <c r="N172" s="1" t="str">
        <f>_xlfn.XLOOKUP(C172,[1]Sheet!$A:$A,[1]Sheet!$E:$E,"Not Found")</f>
        <v>Central</v>
      </c>
      <c r="O172" s="1">
        <f>_xlfn.XLOOKUP(C172,[1]Sheet!$A:$A,[1]Sheet!$F:$F,"Not Found")</f>
        <v>28</v>
      </c>
      <c r="P172" s="1" t="str">
        <f>_xlfn.XLOOKUP(C172,[1]Sheet!$A:$A,[1]Sheet!$G:$G,"Not Found")</f>
        <v>Low</v>
      </c>
      <c r="Q172" s="32">
        <f>Table1[[#This Row],[Current Stock]]*Table1[[#This Row],[Unit Cost (Currency)]]</f>
        <v>37628</v>
      </c>
      <c r="S172" s="219" t="s">
        <v>409</v>
      </c>
      <c r="T172" s="219"/>
      <c r="U172" s="219"/>
      <c r="V172" s="219"/>
      <c r="W172" s="219"/>
      <c r="X172" s="219"/>
      <c r="Y172" s="219"/>
      <c r="Z172" s="219"/>
      <c r="AA172" s="219"/>
      <c r="AB172" s="219"/>
      <c r="AC172" s="219"/>
      <c r="AD172" s="219"/>
      <c r="AE172" s="219"/>
      <c r="AF172" s="219"/>
      <c r="AG172" s="103"/>
    </row>
    <row r="173" spans="1:33" ht="15.6" customHeight="1" x14ac:dyDescent="0.3">
      <c r="A173" s="13" t="s">
        <v>227</v>
      </c>
      <c r="B173" s="2">
        <v>46194</v>
      </c>
      <c r="C173" s="1" t="s">
        <v>140</v>
      </c>
      <c r="D173" s="1" t="s">
        <v>26</v>
      </c>
      <c r="E173" s="1" t="s">
        <v>37</v>
      </c>
      <c r="F173" s="1">
        <v>55</v>
      </c>
      <c r="G173" s="1">
        <v>54</v>
      </c>
      <c r="H173" s="1">
        <v>161</v>
      </c>
      <c r="I173" s="1">
        <v>20</v>
      </c>
      <c r="J173" s="14" t="s">
        <v>14</v>
      </c>
      <c r="K173" s="1" t="str">
        <f>_xlfn.XLOOKUP(C173,[1]Sheet!$A:$A,[1]Sheet!$B:$B,"Not Found")</f>
        <v>Component 29</v>
      </c>
      <c r="L173" s="1" t="str">
        <f>_xlfn.XLOOKUP(C173,[1]Sheet!$A:$A,[1]Sheet!$C:$C,"Not Found")</f>
        <v>Packaging</v>
      </c>
      <c r="M173" s="29">
        <f>_xlfn.XLOOKUP(C173,[1]Sheet!$A:$A,[1]Sheet!$D:$D,"Not Found")</f>
        <v>73</v>
      </c>
      <c r="N173" s="1" t="str">
        <f>_xlfn.XLOOKUP(C173,[1]Sheet!$A:$A,[1]Sheet!$E:$E,"Not Found")</f>
        <v>Delta</v>
      </c>
      <c r="O173" s="1">
        <f>_xlfn.XLOOKUP(C173,[1]Sheet!$A:$A,[1]Sheet!$F:$F,"Not Found")</f>
        <v>25</v>
      </c>
      <c r="P173" s="1" t="str">
        <f>_xlfn.XLOOKUP(C173,[1]Sheet!$A:$A,[1]Sheet!$G:$G,"Not Found")</f>
        <v>Low</v>
      </c>
      <c r="Q173" s="32">
        <f>Table1[[#This Row],[Current Stock]]*Table1[[#This Row],[Unit Cost (Currency)]]</f>
        <v>11753</v>
      </c>
      <c r="S173" s="219"/>
      <c r="T173" s="219"/>
      <c r="U173" s="219"/>
      <c r="V173" s="219"/>
      <c r="W173" s="219"/>
      <c r="X173" s="219"/>
      <c r="Y173" s="219"/>
      <c r="Z173" s="219"/>
      <c r="AA173" s="219"/>
      <c r="AB173" s="219"/>
      <c r="AC173" s="219"/>
      <c r="AD173" s="219"/>
      <c r="AE173" s="219"/>
      <c r="AF173" s="219"/>
      <c r="AG173" s="103"/>
    </row>
    <row r="174" spans="1:33" ht="15.6" x14ac:dyDescent="0.3">
      <c r="A174" s="13" t="s">
        <v>228</v>
      </c>
      <c r="B174" s="2">
        <v>46219</v>
      </c>
      <c r="C174" s="1" t="s">
        <v>83</v>
      </c>
      <c r="D174" s="1" t="s">
        <v>12</v>
      </c>
      <c r="E174" s="1" t="s">
        <v>18</v>
      </c>
      <c r="F174" s="1">
        <v>3</v>
      </c>
      <c r="G174" s="1">
        <v>69</v>
      </c>
      <c r="H174" s="1">
        <v>125</v>
      </c>
      <c r="I174" s="1">
        <v>54</v>
      </c>
      <c r="J174" s="14" t="s">
        <v>14</v>
      </c>
      <c r="K174" s="1" t="str">
        <f>_xlfn.XLOOKUP(C174,[1]Sheet!$A:$A,[1]Sheet!$B:$B,"Not Found")</f>
        <v>Component 7</v>
      </c>
      <c r="L174" s="1" t="str">
        <f>_xlfn.XLOOKUP(C174,[1]Sheet!$A:$A,[1]Sheet!$C:$C,"Not Found")</f>
        <v>Electrical</v>
      </c>
      <c r="M174" s="29">
        <f>_xlfn.XLOOKUP(C174,[1]Sheet!$A:$A,[1]Sheet!$D:$D,"Not Found")</f>
        <v>374</v>
      </c>
      <c r="N174" s="1" t="str">
        <f>_xlfn.XLOOKUP(C174,[1]Sheet!$A:$A,[1]Sheet!$E:$E,"Not Found")</f>
        <v>Bravo</v>
      </c>
      <c r="O174" s="1">
        <f>_xlfn.XLOOKUP(C174,[1]Sheet!$A:$A,[1]Sheet!$F:$F,"Not Found")</f>
        <v>5</v>
      </c>
      <c r="P174" s="1" t="str">
        <f>_xlfn.XLOOKUP(C174,[1]Sheet!$A:$A,[1]Sheet!$G:$G,"Not Found")</f>
        <v>Low</v>
      </c>
      <c r="Q174" s="32">
        <f>Table1[[#This Row],[Current Stock]]*Table1[[#This Row],[Unit Cost (Currency)]]</f>
        <v>46750</v>
      </c>
      <c r="S174" s="102" t="s">
        <v>410</v>
      </c>
      <c r="T174" s="102"/>
      <c r="U174" s="102"/>
      <c r="V174" s="102"/>
      <c r="W174" s="102"/>
      <c r="X174" s="102"/>
      <c r="Y174" s="102"/>
      <c r="Z174" s="102"/>
      <c r="AA174" s="102"/>
      <c r="AB174" s="102"/>
      <c r="AC174" s="102"/>
      <c r="AD174" s="103"/>
      <c r="AE174" s="103"/>
      <c r="AF174" s="103"/>
      <c r="AG174" s="103"/>
    </row>
    <row r="175" spans="1:33" ht="15.6" customHeight="1" x14ac:dyDescent="0.3">
      <c r="A175" s="13" t="s">
        <v>229</v>
      </c>
      <c r="B175" s="2">
        <v>46215</v>
      </c>
      <c r="C175" s="1" t="s">
        <v>28</v>
      </c>
      <c r="D175" s="1" t="s">
        <v>12</v>
      </c>
      <c r="E175" s="1" t="s">
        <v>18</v>
      </c>
      <c r="F175" s="1">
        <v>0</v>
      </c>
      <c r="G175" s="1">
        <v>31</v>
      </c>
      <c r="H175" s="1">
        <v>75</v>
      </c>
      <c r="I175" s="1">
        <v>57</v>
      </c>
      <c r="J175" s="14" t="s">
        <v>19</v>
      </c>
      <c r="K175" s="1" t="str">
        <f>_xlfn.XLOOKUP(C175,[1]Sheet!$A:$A,[1]Sheet!$B:$B,"Not Found")</f>
        <v>Component 15</v>
      </c>
      <c r="L175" s="1" t="str">
        <f>_xlfn.XLOOKUP(C175,[1]Sheet!$A:$A,[1]Sheet!$C:$C,"Not Found")</f>
        <v>Electrical</v>
      </c>
      <c r="M175" s="29">
        <f>_xlfn.XLOOKUP(C175,[1]Sheet!$A:$A,[1]Sheet!$D:$D,"Not Found")</f>
        <v>406</v>
      </c>
      <c r="N175" s="1" t="str">
        <f>_xlfn.XLOOKUP(C175,[1]Sheet!$A:$A,[1]Sheet!$E:$E,"Not Found")</f>
        <v>Central</v>
      </c>
      <c r="O175" s="1">
        <f>_xlfn.XLOOKUP(C175,[1]Sheet!$A:$A,[1]Sheet!$F:$F,"Not Found")</f>
        <v>6</v>
      </c>
      <c r="P175" s="1" t="str">
        <f>_xlfn.XLOOKUP(C175,[1]Sheet!$A:$A,[1]Sheet!$G:$G,"Not Found")</f>
        <v>Low</v>
      </c>
      <c r="Q175" s="32">
        <f>Table1[[#This Row],[Current Stock]]*Table1[[#This Row],[Unit Cost (Currency)]]</f>
        <v>30450</v>
      </c>
      <c r="S175" s="219" t="s">
        <v>411</v>
      </c>
      <c r="T175" s="219"/>
      <c r="U175" s="219"/>
      <c r="V175" s="219"/>
      <c r="W175" s="219"/>
      <c r="X175" s="219"/>
      <c r="Y175" s="219"/>
      <c r="Z175" s="219"/>
      <c r="AA175" s="219"/>
      <c r="AB175" s="219"/>
      <c r="AC175" s="219"/>
      <c r="AD175" s="219"/>
      <c r="AE175" s="219"/>
      <c r="AF175" s="219"/>
      <c r="AG175" s="103"/>
    </row>
    <row r="176" spans="1:33" ht="15.6" customHeight="1" x14ac:dyDescent="0.3">
      <c r="A176" s="13" t="s">
        <v>230</v>
      </c>
      <c r="B176" s="2">
        <v>46189</v>
      </c>
      <c r="C176" s="1" t="s">
        <v>21</v>
      </c>
      <c r="D176" s="1" t="s">
        <v>26</v>
      </c>
      <c r="E176" s="1" t="s">
        <v>37</v>
      </c>
      <c r="F176" s="1">
        <v>21</v>
      </c>
      <c r="G176" s="1">
        <v>18</v>
      </c>
      <c r="H176" s="1">
        <v>74</v>
      </c>
      <c r="I176" s="1">
        <v>50</v>
      </c>
      <c r="J176" s="14" t="s">
        <v>14</v>
      </c>
      <c r="K176" s="1" t="str">
        <f>_xlfn.XLOOKUP(C176,[1]Sheet!$A:$A,[1]Sheet!$B:$B,"Not Found")</f>
        <v>Component 3</v>
      </c>
      <c r="L176" s="1" t="str">
        <f>_xlfn.XLOOKUP(C176,[1]Sheet!$A:$A,[1]Sheet!$C:$C,"Not Found")</f>
        <v>Electrical</v>
      </c>
      <c r="M176" s="29">
        <f>_xlfn.XLOOKUP(C176,[1]Sheet!$A:$A,[1]Sheet!$D:$D,"Not Found")</f>
        <v>246</v>
      </c>
      <c r="N176" s="1" t="str">
        <f>_xlfn.XLOOKUP(C176,[1]Sheet!$A:$A,[1]Sheet!$E:$E,"Not Found")</f>
        <v>Delta</v>
      </c>
      <c r="O176" s="1">
        <f>_xlfn.XLOOKUP(C176,[1]Sheet!$A:$A,[1]Sheet!$F:$F,"Not Found")</f>
        <v>30</v>
      </c>
      <c r="P176" s="1" t="str">
        <f>_xlfn.XLOOKUP(C176,[1]Sheet!$A:$A,[1]Sheet!$G:$G,"Not Found")</f>
        <v>High</v>
      </c>
      <c r="Q176" s="32">
        <f>Table1[[#This Row],[Current Stock]]*Table1[[#This Row],[Unit Cost (Currency)]]</f>
        <v>18204</v>
      </c>
      <c r="S176" s="219"/>
      <c r="T176" s="219"/>
      <c r="U176" s="219"/>
      <c r="V176" s="219"/>
      <c r="W176" s="219"/>
      <c r="X176" s="219"/>
      <c r="Y176" s="219"/>
      <c r="Z176" s="219"/>
      <c r="AA176" s="219"/>
      <c r="AB176" s="219"/>
      <c r="AC176" s="219"/>
      <c r="AD176" s="219"/>
      <c r="AE176" s="219"/>
      <c r="AF176" s="219"/>
      <c r="AG176" s="103"/>
    </row>
    <row r="177" spans="1:33" x14ac:dyDescent="0.3">
      <c r="A177" s="13" t="s">
        <v>231</v>
      </c>
      <c r="B177" s="2">
        <v>46213</v>
      </c>
      <c r="C177" s="1" t="s">
        <v>35</v>
      </c>
      <c r="D177" s="1" t="s">
        <v>12</v>
      </c>
      <c r="E177" s="1" t="s">
        <v>13</v>
      </c>
      <c r="F177" s="1">
        <v>58</v>
      </c>
      <c r="G177" s="1">
        <v>57</v>
      </c>
      <c r="H177" s="1">
        <v>100</v>
      </c>
      <c r="I177" s="1">
        <v>32</v>
      </c>
      <c r="J177" s="14" t="s">
        <v>19</v>
      </c>
      <c r="K177" s="1" t="str">
        <f>_xlfn.XLOOKUP(C177,[1]Sheet!$A:$A,[1]Sheet!$B:$B,"Not Found")</f>
        <v>Component 12</v>
      </c>
      <c r="L177" s="1" t="str">
        <f>_xlfn.XLOOKUP(C177,[1]Sheet!$A:$A,[1]Sheet!$C:$C,"Not Found")</f>
        <v>Packaging</v>
      </c>
      <c r="M177" s="29">
        <f>_xlfn.XLOOKUP(C177,[1]Sheet!$A:$A,[1]Sheet!$D:$D,"Not Found")</f>
        <v>365</v>
      </c>
      <c r="N177" s="1" t="str">
        <f>_xlfn.XLOOKUP(C177,[1]Sheet!$A:$A,[1]Sheet!$E:$E,"Not Found")</f>
        <v>Delta</v>
      </c>
      <c r="O177" s="1">
        <f>_xlfn.XLOOKUP(C177,[1]Sheet!$A:$A,[1]Sheet!$F:$F,"Not Found")</f>
        <v>6</v>
      </c>
      <c r="P177" s="1" t="str">
        <f>_xlfn.XLOOKUP(C177,[1]Sheet!$A:$A,[1]Sheet!$G:$G,"Not Found")</f>
        <v>Low</v>
      </c>
      <c r="Q177" s="32">
        <f>Table1[[#This Row],[Current Stock]]*Table1[[#This Row],[Unit Cost (Currency)]]</f>
        <v>36500</v>
      </c>
      <c r="S177" s="103" t="s">
        <v>412</v>
      </c>
      <c r="T177" s="103"/>
      <c r="U177" s="103"/>
      <c r="V177" s="103"/>
      <c r="W177" s="103"/>
      <c r="X177" s="103"/>
      <c r="Y177" s="103"/>
      <c r="Z177" s="103"/>
      <c r="AA177" s="103"/>
      <c r="AB177" s="103"/>
      <c r="AC177" s="103"/>
      <c r="AD177" s="103"/>
      <c r="AE177" s="103"/>
      <c r="AF177" s="103"/>
      <c r="AG177" s="103"/>
    </row>
    <row r="178" spans="1:33" x14ac:dyDescent="0.3">
      <c r="A178" s="13" t="s">
        <v>232</v>
      </c>
      <c r="B178" s="2">
        <v>46194</v>
      </c>
      <c r="C178" s="1" t="s">
        <v>109</v>
      </c>
      <c r="D178" s="1" t="s">
        <v>12</v>
      </c>
      <c r="E178" s="1" t="s">
        <v>13</v>
      </c>
      <c r="F178" s="1">
        <v>68</v>
      </c>
      <c r="G178" s="1">
        <v>28</v>
      </c>
      <c r="H178" s="1">
        <v>130</v>
      </c>
      <c r="I178" s="1">
        <v>51</v>
      </c>
      <c r="J178" s="14" t="s">
        <v>19</v>
      </c>
      <c r="K178" s="1" t="str">
        <f>_xlfn.XLOOKUP(C178,[1]Sheet!$A:$A,[1]Sheet!$B:$B,"Not Found")</f>
        <v>Component 35</v>
      </c>
      <c r="L178" s="1" t="str">
        <f>_xlfn.XLOOKUP(C178,[1]Sheet!$A:$A,[1]Sheet!$C:$C,"Not Found")</f>
        <v>Safety</v>
      </c>
      <c r="M178" s="29">
        <f>_xlfn.XLOOKUP(C178,[1]Sheet!$A:$A,[1]Sheet!$D:$D,"Not Found")</f>
        <v>298</v>
      </c>
      <c r="N178" s="1" t="str">
        <f>_xlfn.XLOOKUP(C178,[1]Sheet!$A:$A,[1]Sheet!$E:$E,"Not Found")</f>
        <v>Alpha</v>
      </c>
      <c r="O178" s="1">
        <f>_xlfn.XLOOKUP(C178,[1]Sheet!$A:$A,[1]Sheet!$F:$F,"Not Found")</f>
        <v>6</v>
      </c>
      <c r="P178" s="1" t="str">
        <f>_xlfn.XLOOKUP(C178,[1]Sheet!$A:$A,[1]Sheet!$G:$G,"Not Found")</f>
        <v>Medium</v>
      </c>
      <c r="Q178" s="32">
        <f>Table1[[#This Row],[Current Stock]]*Table1[[#This Row],[Unit Cost (Currency)]]</f>
        <v>38740</v>
      </c>
      <c r="S178" s="103" t="s">
        <v>413</v>
      </c>
      <c r="T178" s="103"/>
      <c r="U178" s="103"/>
      <c r="V178" s="103"/>
      <c r="W178" s="103"/>
      <c r="X178" s="103"/>
      <c r="Y178" s="103"/>
      <c r="Z178" s="103"/>
      <c r="AA178" s="103"/>
      <c r="AB178" s="103"/>
      <c r="AC178" s="103"/>
      <c r="AD178" s="103"/>
      <c r="AE178" s="103"/>
      <c r="AF178" s="103"/>
      <c r="AG178" s="103"/>
    </row>
    <row r="179" spans="1:33" x14ac:dyDescent="0.3">
      <c r="A179" s="13" t="s">
        <v>233</v>
      </c>
      <c r="B179" s="2">
        <v>46178</v>
      </c>
      <c r="C179" s="1" t="s">
        <v>11</v>
      </c>
      <c r="D179" s="1" t="s">
        <v>17</v>
      </c>
      <c r="E179" s="1" t="s">
        <v>37</v>
      </c>
      <c r="F179" s="1">
        <v>111</v>
      </c>
      <c r="G179" s="1">
        <v>12</v>
      </c>
      <c r="H179" s="1">
        <v>223</v>
      </c>
      <c r="I179" s="1">
        <v>26</v>
      </c>
      <c r="J179" s="14" t="s">
        <v>14</v>
      </c>
      <c r="K179" s="1" t="str">
        <f>_xlfn.XLOOKUP(C179,[1]Sheet!$A:$A,[1]Sheet!$B:$B,"Not Found")</f>
        <v>Component 21</v>
      </c>
      <c r="L179" s="1" t="str">
        <f>_xlfn.XLOOKUP(C179,[1]Sheet!$A:$A,[1]Sheet!$C:$C,"Not Found")</f>
        <v>Packaging</v>
      </c>
      <c r="M179" s="29">
        <f>_xlfn.XLOOKUP(C179,[1]Sheet!$A:$A,[1]Sheet!$D:$D,"Not Found")</f>
        <v>313</v>
      </c>
      <c r="N179" s="1" t="str">
        <f>_xlfn.XLOOKUP(C179,[1]Sheet!$A:$A,[1]Sheet!$E:$E,"Not Found")</f>
        <v>Delta</v>
      </c>
      <c r="O179" s="1">
        <f>_xlfn.XLOOKUP(C179,[1]Sheet!$A:$A,[1]Sheet!$F:$F,"Not Found")</f>
        <v>13</v>
      </c>
      <c r="P179" s="1" t="str">
        <f>_xlfn.XLOOKUP(C179,[1]Sheet!$A:$A,[1]Sheet!$G:$G,"Not Found")</f>
        <v>High</v>
      </c>
      <c r="Q179" s="32">
        <f>Table1[[#This Row],[Current Stock]]*Table1[[#This Row],[Unit Cost (Currency)]]</f>
        <v>69799</v>
      </c>
      <c r="S179" s="103"/>
      <c r="T179" s="103"/>
      <c r="U179" s="103"/>
      <c r="V179" s="103"/>
      <c r="W179" s="103"/>
      <c r="X179" s="103"/>
      <c r="Y179" s="103"/>
      <c r="Z179" s="103"/>
      <c r="AA179" s="103"/>
      <c r="AB179" s="103"/>
      <c r="AC179" s="103"/>
      <c r="AD179" s="103"/>
      <c r="AE179" s="103"/>
      <c r="AF179" s="103"/>
      <c r="AG179" s="103"/>
    </row>
    <row r="180" spans="1:33" x14ac:dyDescent="0.3">
      <c r="A180" s="13" t="s">
        <v>234</v>
      </c>
      <c r="B180" s="2">
        <v>46216</v>
      </c>
      <c r="C180" s="1" t="s">
        <v>28</v>
      </c>
      <c r="D180" s="1" t="s">
        <v>17</v>
      </c>
      <c r="E180" s="1" t="s">
        <v>37</v>
      </c>
      <c r="F180" s="1">
        <v>2</v>
      </c>
      <c r="G180" s="1">
        <v>22</v>
      </c>
      <c r="H180" s="1">
        <v>177</v>
      </c>
      <c r="I180" s="1">
        <v>69</v>
      </c>
      <c r="J180" s="14" t="s">
        <v>14</v>
      </c>
      <c r="K180" s="1" t="str">
        <f>_xlfn.XLOOKUP(C180,[1]Sheet!$A:$A,[1]Sheet!$B:$B,"Not Found")</f>
        <v>Component 15</v>
      </c>
      <c r="L180" s="1" t="str">
        <f>_xlfn.XLOOKUP(C180,[1]Sheet!$A:$A,[1]Sheet!$C:$C,"Not Found")</f>
        <v>Electrical</v>
      </c>
      <c r="M180" s="29">
        <f>_xlfn.XLOOKUP(C180,[1]Sheet!$A:$A,[1]Sheet!$D:$D,"Not Found")</f>
        <v>406</v>
      </c>
      <c r="N180" s="1" t="str">
        <f>_xlfn.XLOOKUP(C180,[1]Sheet!$A:$A,[1]Sheet!$E:$E,"Not Found")</f>
        <v>Central</v>
      </c>
      <c r="O180" s="1">
        <f>_xlfn.XLOOKUP(C180,[1]Sheet!$A:$A,[1]Sheet!$F:$F,"Not Found")</f>
        <v>6</v>
      </c>
      <c r="P180" s="1" t="str">
        <f>_xlfn.XLOOKUP(C180,[1]Sheet!$A:$A,[1]Sheet!$G:$G,"Not Found")</f>
        <v>Low</v>
      </c>
      <c r="Q180" s="32">
        <f>Table1[[#This Row],[Current Stock]]*Table1[[#This Row],[Unit Cost (Currency)]]</f>
        <v>71862</v>
      </c>
    </row>
    <row r="181" spans="1:33" x14ac:dyDescent="0.3">
      <c r="A181" s="13" t="s">
        <v>235</v>
      </c>
      <c r="B181" s="2">
        <v>46181</v>
      </c>
      <c r="C181" s="1" t="s">
        <v>23</v>
      </c>
      <c r="D181" s="1" t="s">
        <v>12</v>
      </c>
      <c r="E181" s="1" t="s">
        <v>13</v>
      </c>
      <c r="F181" s="1">
        <v>114</v>
      </c>
      <c r="G181" s="1">
        <v>59</v>
      </c>
      <c r="H181" s="1">
        <v>28</v>
      </c>
      <c r="I181" s="1">
        <v>43</v>
      </c>
      <c r="J181" s="14" t="s">
        <v>19</v>
      </c>
      <c r="K181" s="1" t="str">
        <f>_xlfn.XLOOKUP(C181,[1]Sheet!$A:$A,[1]Sheet!$B:$B,"Not Found")</f>
        <v>Component 26</v>
      </c>
      <c r="L181" s="1" t="str">
        <f>_xlfn.XLOOKUP(C181,[1]Sheet!$A:$A,[1]Sheet!$C:$C,"Not Found")</f>
        <v>Safety</v>
      </c>
      <c r="M181" s="29">
        <f>_xlfn.XLOOKUP(C181,[1]Sheet!$A:$A,[1]Sheet!$D:$D,"Not Found")</f>
        <v>326</v>
      </c>
      <c r="N181" s="1" t="str">
        <f>_xlfn.XLOOKUP(C181,[1]Sheet!$A:$A,[1]Sheet!$E:$E,"Not Found")</f>
        <v>Central</v>
      </c>
      <c r="O181" s="1">
        <f>_xlfn.XLOOKUP(C181,[1]Sheet!$A:$A,[1]Sheet!$F:$F,"Not Found")</f>
        <v>11</v>
      </c>
      <c r="P181" s="1" t="str">
        <f>_xlfn.XLOOKUP(C181,[1]Sheet!$A:$A,[1]Sheet!$G:$G,"Not Found")</f>
        <v>High</v>
      </c>
      <c r="Q181" s="32">
        <f>Table1[[#This Row],[Current Stock]]*Table1[[#This Row],[Unit Cost (Currency)]]</f>
        <v>9128</v>
      </c>
    </row>
    <row r="182" spans="1:33" x14ac:dyDescent="0.3">
      <c r="A182" s="13" t="s">
        <v>236</v>
      </c>
      <c r="B182" s="2">
        <v>46191</v>
      </c>
      <c r="C182" s="1" t="s">
        <v>47</v>
      </c>
      <c r="D182" s="1" t="s">
        <v>17</v>
      </c>
      <c r="E182" s="1" t="s">
        <v>13</v>
      </c>
      <c r="F182" s="1">
        <v>32</v>
      </c>
      <c r="G182" s="1">
        <v>93</v>
      </c>
      <c r="H182" s="1">
        <v>240</v>
      </c>
      <c r="I182" s="1">
        <v>39</v>
      </c>
      <c r="J182" s="14" t="s">
        <v>19</v>
      </c>
      <c r="K182" s="1" t="str">
        <f>_xlfn.XLOOKUP(C182,[1]Sheet!$A:$A,[1]Sheet!$B:$B,"Not Found")</f>
        <v>Component 6</v>
      </c>
      <c r="L182" s="1" t="str">
        <f>_xlfn.XLOOKUP(C182,[1]Sheet!$A:$A,[1]Sheet!$C:$C,"Not Found")</f>
        <v>Electrical</v>
      </c>
      <c r="M182" s="29">
        <f>_xlfn.XLOOKUP(C182,[1]Sheet!$A:$A,[1]Sheet!$D:$D,"Not Found")</f>
        <v>156</v>
      </c>
      <c r="N182" s="1" t="str">
        <f>_xlfn.XLOOKUP(C182,[1]Sheet!$A:$A,[1]Sheet!$E:$E,"Not Found")</f>
        <v>Central</v>
      </c>
      <c r="O182" s="1">
        <f>_xlfn.XLOOKUP(C182,[1]Sheet!$A:$A,[1]Sheet!$F:$F,"Not Found")</f>
        <v>8</v>
      </c>
      <c r="P182" s="1" t="str">
        <f>_xlfn.XLOOKUP(C182,[1]Sheet!$A:$A,[1]Sheet!$G:$G,"Not Found")</f>
        <v>High</v>
      </c>
      <c r="Q182" s="32">
        <f>Table1[[#This Row],[Current Stock]]*Table1[[#This Row],[Unit Cost (Currency)]]</f>
        <v>37440</v>
      </c>
    </row>
    <row r="183" spans="1:33" x14ac:dyDescent="0.3">
      <c r="A183" s="13" t="s">
        <v>237</v>
      </c>
      <c r="B183" s="2">
        <v>46205</v>
      </c>
      <c r="C183" s="1" t="s">
        <v>69</v>
      </c>
      <c r="D183" s="1" t="s">
        <v>26</v>
      </c>
      <c r="E183" s="1" t="s">
        <v>37</v>
      </c>
      <c r="F183" s="1">
        <v>32</v>
      </c>
      <c r="G183" s="1">
        <v>10</v>
      </c>
      <c r="H183" s="1">
        <v>125</v>
      </c>
      <c r="I183" s="1">
        <v>66</v>
      </c>
      <c r="J183" s="14" t="s">
        <v>19</v>
      </c>
      <c r="K183" s="1" t="str">
        <f>_xlfn.XLOOKUP(C183,[1]Sheet!$A:$A,[1]Sheet!$B:$B,"Not Found")</f>
        <v>Component 16</v>
      </c>
      <c r="L183" s="1" t="str">
        <f>_xlfn.XLOOKUP(C183,[1]Sheet!$A:$A,[1]Sheet!$C:$C,"Not Found")</f>
        <v>Safety</v>
      </c>
      <c r="M183" s="29">
        <f>_xlfn.XLOOKUP(C183,[1]Sheet!$A:$A,[1]Sheet!$D:$D,"Not Found")</f>
        <v>245</v>
      </c>
      <c r="N183" s="1" t="str">
        <f>_xlfn.XLOOKUP(C183,[1]Sheet!$A:$A,[1]Sheet!$E:$E,"Not Found")</f>
        <v>Central</v>
      </c>
      <c r="O183" s="1">
        <f>_xlfn.XLOOKUP(C183,[1]Sheet!$A:$A,[1]Sheet!$F:$F,"Not Found")</f>
        <v>19</v>
      </c>
      <c r="P183" s="1" t="str">
        <f>_xlfn.XLOOKUP(C183,[1]Sheet!$A:$A,[1]Sheet!$G:$G,"Not Found")</f>
        <v>High</v>
      </c>
      <c r="Q183" s="32">
        <f>Table1[[#This Row],[Current Stock]]*Table1[[#This Row],[Unit Cost (Currency)]]</f>
        <v>30625</v>
      </c>
    </row>
    <row r="184" spans="1:33" x14ac:dyDescent="0.3">
      <c r="A184" s="13" t="s">
        <v>238</v>
      </c>
      <c r="B184" s="2">
        <v>46193</v>
      </c>
      <c r="C184" s="1" t="s">
        <v>65</v>
      </c>
      <c r="D184" s="1" t="s">
        <v>12</v>
      </c>
      <c r="E184" s="1" t="s">
        <v>37</v>
      </c>
      <c r="F184" s="1">
        <v>2</v>
      </c>
      <c r="G184" s="1">
        <v>21</v>
      </c>
      <c r="H184" s="1">
        <v>46</v>
      </c>
      <c r="I184" s="1">
        <v>26</v>
      </c>
      <c r="J184" s="14" t="s">
        <v>14</v>
      </c>
      <c r="K184" s="1" t="str">
        <f>_xlfn.XLOOKUP(C184,[1]Sheet!$A:$A,[1]Sheet!$B:$B,"Not Found")</f>
        <v>Component 37</v>
      </c>
      <c r="L184" s="1" t="str">
        <f>_xlfn.XLOOKUP(C184,[1]Sheet!$A:$A,[1]Sheet!$C:$C,"Not Found")</f>
        <v>Packaging</v>
      </c>
      <c r="M184" s="29">
        <f>_xlfn.XLOOKUP(C184,[1]Sheet!$A:$A,[1]Sheet!$D:$D,"Not Found")</f>
        <v>186</v>
      </c>
      <c r="N184" s="1" t="str">
        <f>_xlfn.XLOOKUP(C184,[1]Sheet!$A:$A,[1]Sheet!$E:$E,"Not Found")</f>
        <v>Central</v>
      </c>
      <c r="O184" s="1">
        <f>_xlfn.XLOOKUP(C184,[1]Sheet!$A:$A,[1]Sheet!$F:$F,"Not Found")</f>
        <v>19</v>
      </c>
      <c r="P184" s="1" t="str">
        <f>_xlfn.XLOOKUP(C184,[1]Sheet!$A:$A,[1]Sheet!$G:$G,"Not Found")</f>
        <v>Medium</v>
      </c>
      <c r="Q184" s="32">
        <f>Table1[[#This Row],[Current Stock]]*Table1[[#This Row],[Unit Cost (Currency)]]</f>
        <v>8556</v>
      </c>
    </row>
    <row r="185" spans="1:33" x14ac:dyDescent="0.3">
      <c r="A185" s="13" t="s">
        <v>239</v>
      </c>
      <c r="B185" s="2">
        <v>46213</v>
      </c>
      <c r="C185" s="1" t="s">
        <v>69</v>
      </c>
      <c r="D185" s="1" t="s">
        <v>12</v>
      </c>
      <c r="E185" s="1" t="s">
        <v>13</v>
      </c>
      <c r="F185" s="1">
        <v>41</v>
      </c>
      <c r="G185" s="1">
        <v>50</v>
      </c>
      <c r="H185" s="1">
        <v>192</v>
      </c>
      <c r="I185" s="1">
        <v>52</v>
      </c>
      <c r="J185" s="14" t="s">
        <v>19</v>
      </c>
      <c r="K185" s="1" t="str">
        <f>_xlfn.XLOOKUP(C185,[1]Sheet!$A:$A,[1]Sheet!$B:$B,"Not Found")</f>
        <v>Component 16</v>
      </c>
      <c r="L185" s="1" t="str">
        <f>_xlfn.XLOOKUP(C185,[1]Sheet!$A:$A,[1]Sheet!$C:$C,"Not Found")</f>
        <v>Safety</v>
      </c>
      <c r="M185" s="29">
        <f>_xlfn.XLOOKUP(C185,[1]Sheet!$A:$A,[1]Sheet!$D:$D,"Not Found")</f>
        <v>245</v>
      </c>
      <c r="N185" s="1" t="str">
        <f>_xlfn.XLOOKUP(C185,[1]Sheet!$A:$A,[1]Sheet!$E:$E,"Not Found")</f>
        <v>Central</v>
      </c>
      <c r="O185" s="1">
        <f>_xlfn.XLOOKUP(C185,[1]Sheet!$A:$A,[1]Sheet!$F:$F,"Not Found")</f>
        <v>19</v>
      </c>
      <c r="P185" s="1" t="str">
        <f>_xlfn.XLOOKUP(C185,[1]Sheet!$A:$A,[1]Sheet!$G:$G,"Not Found")</f>
        <v>High</v>
      </c>
      <c r="Q185" s="32">
        <f>Table1[[#This Row],[Current Stock]]*Table1[[#This Row],[Unit Cost (Currency)]]</f>
        <v>47040</v>
      </c>
    </row>
    <row r="186" spans="1:33" x14ac:dyDescent="0.3">
      <c r="A186" s="13" t="s">
        <v>240</v>
      </c>
      <c r="B186" s="2">
        <v>46178</v>
      </c>
      <c r="C186" s="1" t="s">
        <v>35</v>
      </c>
      <c r="D186" s="1" t="s">
        <v>12</v>
      </c>
      <c r="E186" s="1" t="s">
        <v>18</v>
      </c>
      <c r="F186" s="1">
        <v>10</v>
      </c>
      <c r="G186" s="1">
        <v>73</v>
      </c>
      <c r="H186" s="1">
        <v>156</v>
      </c>
      <c r="I186" s="1">
        <v>51</v>
      </c>
      <c r="J186" s="14" t="s">
        <v>14</v>
      </c>
      <c r="K186" s="1" t="str">
        <f>_xlfn.XLOOKUP(C186,[1]Sheet!$A:$A,[1]Sheet!$B:$B,"Not Found")</f>
        <v>Component 12</v>
      </c>
      <c r="L186" s="1" t="str">
        <f>_xlfn.XLOOKUP(C186,[1]Sheet!$A:$A,[1]Sheet!$C:$C,"Not Found")</f>
        <v>Packaging</v>
      </c>
      <c r="M186" s="29">
        <f>_xlfn.XLOOKUP(C186,[1]Sheet!$A:$A,[1]Sheet!$D:$D,"Not Found")</f>
        <v>365</v>
      </c>
      <c r="N186" s="1" t="str">
        <f>_xlfn.XLOOKUP(C186,[1]Sheet!$A:$A,[1]Sheet!$E:$E,"Not Found")</f>
        <v>Delta</v>
      </c>
      <c r="O186" s="1">
        <f>_xlfn.XLOOKUP(C186,[1]Sheet!$A:$A,[1]Sheet!$F:$F,"Not Found")</f>
        <v>6</v>
      </c>
      <c r="P186" s="1" t="str">
        <f>_xlfn.XLOOKUP(C186,[1]Sheet!$A:$A,[1]Sheet!$G:$G,"Not Found")</f>
        <v>Low</v>
      </c>
      <c r="Q186" s="32">
        <f>Table1[[#This Row],[Current Stock]]*Table1[[#This Row],[Unit Cost (Currency)]]</f>
        <v>56940</v>
      </c>
    </row>
    <row r="187" spans="1:33" x14ac:dyDescent="0.3">
      <c r="A187" s="13" t="s">
        <v>241</v>
      </c>
      <c r="B187" s="2">
        <v>46212</v>
      </c>
      <c r="C187" s="1" t="s">
        <v>25</v>
      </c>
      <c r="D187" s="1" t="s">
        <v>12</v>
      </c>
      <c r="E187" s="1" t="s">
        <v>13</v>
      </c>
      <c r="F187" s="1">
        <v>113</v>
      </c>
      <c r="G187" s="1">
        <v>32</v>
      </c>
      <c r="H187" s="1">
        <v>28</v>
      </c>
      <c r="I187" s="1">
        <v>42</v>
      </c>
      <c r="J187" s="14" t="s">
        <v>19</v>
      </c>
      <c r="K187" s="1" t="str">
        <f>_xlfn.XLOOKUP(C187,[1]Sheet!$A:$A,[1]Sheet!$B:$B,"Not Found")</f>
        <v>Component 40</v>
      </c>
      <c r="L187" s="1" t="str">
        <f>_xlfn.XLOOKUP(C187,[1]Sheet!$A:$A,[1]Sheet!$C:$C,"Not Found")</f>
        <v>Mechanical</v>
      </c>
      <c r="M187" s="29">
        <f>_xlfn.XLOOKUP(C187,[1]Sheet!$A:$A,[1]Sheet!$D:$D,"Not Found")</f>
        <v>180</v>
      </c>
      <c r="N187" s="1" t="str">
        <f>_xlfn.XLOOKUP(C187,[1]Sheet!$A:$A,[1]Sheet!$E:$E,"Not Found")</f>
        <v>Central</v>
      </c>
      <c r="O187" s="1">
        <f>_xlfn.XLOOKUP(C187,[1]Sheet!$A:$A,[1]Sheet!$F:$F,"Not Found")</f>
        <v>19</v>
      </c>
      <c r="P187" s="1" t="str">
        <f>_xlfn.XLOOKUP(C187,[1]Sheet!$A:$A,[1]Sheet!$G:$G,"Not Found")</f>
        <v>Medium</v>
      </c>
      <c r="Q187" s="32">
        <f>Table1[[#This Row],[Current Stock]]*Table1[[#This Row],[Unit Cost (Currency)]]</f>
        <v>5040</v>
      </c>
    </row>
    <row r="188" spans="1:33" x14ac:dyDescent="0.3">
      <c r="A188" s="13" t="s">
        <v>242</v>
      </c>
      <c r="B188" s="2">
        <v>46191</v>
      </c>
      <c r="C188" s="1" t="s">
        <v>49</v>
      </c>
      <c r="D188" s="1" t="s">
        <v>26</v>
      </c>
      <c r="E188" s="1" t="s">
        <v>13</v>
      </c>
      <c r="F188" s="1">
        <v>27</v>
      </c>
      <c r="G188" s="1">
        <v>43</v>
      </c>
      <c r="H188" s="1">
        <v>78</v>
      </c>
      <c r="I188" s="1">
        <v>71</v>
      </c>
      <c r="J188" s="14" t="s">
        <v>14</v>
      </c>
      <c r="K188" s="1" t="str">
        <f>_xlfn.XLOOKUP(C188,[1]Sheet!$A:$A,[1]Sheet!$B:$B,"Not Found")</f>
        <v>Component 31</v>
      </c>
      <c r="L188" s="1" t="str">
        <f>_xlfn.XLOOKUP(C188,[1]Sheet!$A:$A,[1]Sheet!$C:$C,"Not Found")</f>
        <v>Mechanical</v>
      </c>
      <c r="M188" s="29">
        <f>_xlfn.XLOOKUP(C188,[1]Sheet!$A:$A,[1]Sheet!$D:$D,"Not Found")</f>
        <v>462</v>
      </c>
      <c r="N188" s="1" t="str">
        <f>_xlfn.XLOOKUP(C188,[1]Sheet!$A:$A,[1]Sheet!$E:$E,"Not Found")</f>
        <v>Central</v>
      </c>
      <c r="O188" s="1">
        <f>_xlfn.XLOOKUP(C188,[1]Sheet!$A:$A,[1]Sheet!$F:$F,"Not Found")</f>
        <v>10</v>
      </c>
      <c r="P188" s="1" t="str">
        <f>_xlfn.XLOOKUP(C188,[1]Sheet!$A:$A,[1]Sheet!$G:$G,"Not Found")</f>
        <v>Low</v>
      </c>
      <c r="Q188" s="32">
        <f>Table1[[#This Row],[Current Stock]]*Table1[[#This Row],[Unit Cost (Currency)]]</f>
        <v>36036</v>
      </c>
    </row>
    <row r="189" spans="1:33" x14ac:dyDescent="0.3">
      <c r="A189" s="13" t="s">
        <v>243</v>
      </c>
      <c r="B189" s="2">
        <v>46215</v>
      </c>
      <c r="C189" s="1" t="s">
        <v>73</v>
      </c>
      <c r="D189" s="1" t="s">
        <v>17</v>
      </c>
      <c r="E189" s="1" t="s">
        <v>13</v>
      </c>
      <c r="F189" s="1">
        <v>99</v>
      </c>
      <c r="G189" s="1">
        <v>58</v>
      </c>
      <c r="H189" s="1">
        <v>184</v>
      </c>
      <c r="I189" s="1">
        <v>43</v>
      </c>
      <c r="J189" s="14" t="s">
        <v>19</v>
      </c>
      <c r="K189" s="1" t="str">
        <f>_xlfn.XLOOKUP(C189,[1]Sheet!$A:$A,[1]Sheet!$B:$B,"Not Found")</f>
        <v>Component 8</v>
      </c>
      <c r="L189" s="1" t="str">
        <f>_xlfn.XLOOKUP(C189,[1]Sheet!$A:$A,[1]Sheet!$C:$C,"Not Found")</f>
        <v>Electrical</v>
      </c>
      <c r="M189" s="29">
        <f>_xlfn.XLOOKUP(C189,[1]Sheet!$A:$A,[1]Sheet!$D:$D,"Not Found")</f>
        <v>245</v>
      </c>
      <c r="N189" s="1" t="str">
        <f>_xlfn.XLOOKUP(C189,[1]Sheet!$A:$A,[1]Sheet!$E:$E,"Not Found")</f>
        <v>Delta</v>
      </c>
      <c r="O189" s="1">
        <f>_xlfn.XLOOKUP(C189,[1]Sheet!$A:$A,[1]Sheet!$F:$F,"Not Found")</f>
        <v>5</v>
      </c>
      <c r="P189" s="1" t="str">
        <f>_xlfn.XLOOKUP(C189,[1]Sheet!$A:$A,[1]Sheet!$G:$G,"Not Found")</f>
        <v>Low</v>
      </c>
      <c r="Q189" s="32">
        <f>Table1[[#This Row],[Current Stock]]*Table1[[#This Row],[Unit Cost (Currency)]]</f>
        <v>45080</v>
      </c>
    </row>
    <row r="190" spans="1:33" x14ac:dyDescent="0.3">
      <c r="A190" s="13" t="s">
        <v>244</v>
      </c>
      <c r="B190" s="2">
        <v>46205</v>
      </c>
      <c r="C190" s="1" t="s">
        <v>112</v>
      </c>
      <c r="D190" s="1" t="s">
        <v>26</v>
      </c>
      <c r="E190" s="1" t="s">
        <v>37</v>
      </c>
      <c r="F190" s="1">
        <v>60</v>
      </c>
      <c r="G190" s="1">
        <v>54</v>
      </c>
      <c r="H190" s="1">
        <v>10</v>
      </c>
      <c r="I190" s="1">
        <v>60</v>
      </c>
      <c r="J190" s="14" t="s">
        <v>14</v>
      </c>
      <c r="K190" s="1" t="str">
        <f>_xlfn.XLOOKUP(C190,[1]Sheet!$A:$A,[1]Sheet!$B:$B,"Not Found")</f>
        <v>Component 27</v>
      </c>
      <c r="L190" s="1" t="str">
        <f>_xlfn.XLOOKUP(C190,[1]Sheet!$A:$A,[1]Sheet!$C:$C,"Not Found")</f>
        <v>Mechanical</v>
      </c>
      <c r="M190" s="29">
        <f>_xlfn.XLOOKUP(C190,[1]Sheet!$A:$A,[1]Sheet!$D:$D,"Not Found")</f>
        <v>348</v>
      </c>
      <c r="N190" s="1" t="str">
        <f>_xlfn.XLOOKUP(C190,[1]Sheet!$A:$A,[1]Sheet!$E:$E,"Not Found")</f>
        <v>Bravo</v>
      </c>
      <c r="O190" s="1">
        <f>_xlfn.XLOOKUP(C190,[1]Sheet!$A:$A,[1]Sheet!$F:$F,"Not Found")</f>
        <v>3</v>
      </c>
      <c r="P190" s="1" t="str">
        <f>_xlfn.XLOOKUP(C190,[1]Sheet!$A:$A,[1]Sheet!$G:$G,"Not Found")</f>
        <v>High</v>
      </c>
      <c r="Q190" s="32">
        <f>Table1[[#This Row],[Current Stock]]*Table1[[#This Row],[Unit Cost (Currency)]]</f>
        <v>3480</v>
      </c>
    </row>
    <row r="191" spans="1:33" x14ac:dyDescent="0.3">
      <c r="A191" s="13" t="s">
        <v>245</v>
      </c>
      <c r="B191" s="2">
        <v>46215</v>
      </c>
      <c r="C191" s="1" t="s">
        <v>75</v>
      </c>
      <c r="D191" s="1" t="s">
        <v>12</v>
      </c>
      <c r="E191" s="1" t="s">
        <v>18</v>
      </c>
      <c r="F191" s="1">
        <v>12</v>
      </c>
      <c r="G191" s="1">
        <v>56</v>
      </c>
      <c r="H191" s="1">
        <v>43</v>
      </c>
      <c r="I191" s="1">
        <v>23</v>
      </c>
      <c r="J191" s="14" t="s">
        <v>14</v>
      </c>
      <c r="K191" s="1" t="str">
        <f>_xlfn.XLOOKUP(C191,[1]Sheet!$A:$A,[1]Sheet!$B:$B,"Not Found")</f>
        <v>Component 1</v>
      </c>
      <c r="L191" s="1" t="str">
        <f>_xlfn.XLOOKUP(C191,[1]Sheet!$A:$A,[1]Sheet!$C:$C,"Not Found")</f>
        <v>Safety</v>
      </c>
      <c r="M191" s="29">
        <f>_xlfn.XLOOKUP(C191,[1]Sheet!$A:$A,[1]Sheet!$D:$D,"Not Found")</f>
        <v>375</v>
      </c>
      <c r="N191" s="1" t="str">
        <f>_xlfn.XLOOKUP(C191,[1]Sheet!$A:$A,[1]Sheet!$E:$E,"Not Found")</f>
        <v>Alpha</v>
      </c>
      <c r="O191" s="1">
        <f>_xlfn.XLOOKUP(C191,[1]Sheet!$A:$A,[1]Sheet!$F:$F,"Not Found")</f>
        <v>19</v>
      </c>
      <c r="P191" s="1" t="str">
        <f>_xlfn.XLOOKUP(C191,[1]Sheet!$A:$A,[1]Sheet!$G:$G,"Not Found")</f>
        <v>Low</v>
      </c>
      <c r="Q191" s="32">
        <f>Table1[[#This Row],[Current Stock]]*Table1[[#This Row],[Unit Cost (Currency)]]</f>
        <v>16125</v>
      </c>
    </row>
    <row r="192" spans="1:33" x14ac:dyDescent="0.3">
      <c r="A192" s="13" t="s">
        <v>246</v>
      </c>
      <c r="B192" s="2">
        <v>46204</v>
      </c>
      <c r="C192" s="1" t="s">
        <v>86</v>
      </c>
      <c r="D192" s="1" t="s">
        <v>26</v>
      </c>
      <c r="E192" s="1" t="s">
        <v>37</v>
      </c>
      <c r="F192" s="1">
        <v>115</v>
      </c>
      <c r="G192" s="1">
        <v>69</v>
      </c>
      <c r="H192" s="1">
        <v>147</v>
      </c>
      <c r="I192" s="1">
        <v>58</v>
      </c>
      <c r="J192" s="14" t="s">
        <v>19</v>
      </c>
      <c r="K192" s="1" t="str">
        <f>_xlfn.XLOOKUP(C192,[1]Sheet!$A:$A,[1]Sheet!$B:$B,"Not Found")</f>
        <v>Component 33</v>
      </c>
      <c r="L192" s="1" t="str">
        <f>_xlfn.XLOOKUP(C192,[1]Sheet!$A:$A,[1]Sheet!$C:$C,"Not Found")</f>
        <v>Packaging</v>
      </c>
      <c r="M192" s="29">
        <f>_xlfn.XLOOKUP(C192,[1]Sheet!$A:$A,[1]Sheet!$D:$D,"Not Found")</f>
        <v>293</v>
      </c>
      <c r="N192" s="1" t="str">
        <f>_xlfn.XLOOKUP(C192,[1]Sheet!$A:$A,[1]Sheet!$E:$E,"Not Found")</f>
        <v>Delta</v>
      </c>
      <c r="O192" s="1">
        <f>_xlfn.XLOOKUP(C192,[1]Sheet!$A:$A,[1]Sheet!$F:$F,"Not Found")</f>
        <v>15</v>
      </c>
      <c r="P192" s="1" t="str">
        <f>_xlfn.XLOOKUP(C192,[1]Sheet!$A:$A,[1]Sheet!$G:$G,"Not Found")</f>
        <v>Low</v>
      </c>
      <c r="Q192" s="32">
        <f>Table1[[#This Row],[Current Stock]]*Table1[[#This Row],[Unit Cost (Currency)]]</f>
        <v>43071</v>
      </c>
    </row>
    <row r="193" spans="1:17" x14ac:dyDescent="0.3">
      <c r="A193" s="13" t="s">
        <v>247</v>
      </c>
      <c r="B193" s="2">
        <v>46210</v>
      </c>
      <c r="C193" s="1" t="s">
        <v>248</v>
      </c>
      <c r="D193" s="1" t="s">
        <v>26</v>
      </c>
      <c r="E193" s="1" t="s">
        <v>37</v>
      </c>
      <c r="F193" s="1">
        <v>14</v>
      </c>
      <c r="G193" s="1">
        <v>42</v>
      </c>
      <c r="H193" s="1">
        <v>150</v>
      </c>
      <c r="I193" s="1">
        <v>77</v>
      </c>
      <c r="J193" s="14" t="s">
        <v>19</v>
      </c>
      <c r="K193" s="1" t="str">
        <f>_xlfn.XLOOKUP(C193,[1]Sheet!$A:$A,[1]Sheet!$B:$B,"Not Found")</f>
        <v>Component 5</v>
      </c>
      <c r="L193" s="1" t="str">
        <f>_xlfn.XLOOKUP(C193,[1]Sheet!$A:$A,[1]Sheet!$C:$C,"Not Found")</f>
        <v>Mechanical</v>
      </c>
      <c r="M193" s="29">
        <f>_xlfn.XLOOKUP(C193,[1]Sheet!$A:$A,[1]Sheet!$D:$D,"Not Found")</f>
        <v>476</v>
      </c>
      <c r="N193" s="1" t="str">
        <f>_xlfn.XLOOKUP(C193,[1]Sheet!$A:$A,[1]Sheet!$E:$E,"Not Found")</f>
        <v>Delta</v>
      </c>
      <c r="O193" s="1">
        <f>_xlfn.XLOOKUP(C193,[1]Sheet!$A:$A,[1]Sheet!$F:$F,"Not Found")</f>
        <v>12</v>
      </c>
      <c r="P193" s="1" t="str">
        <f>_xlfn.XLOOKUP(C193,[1]Sheet!$A:$A,[1]Sheet!$G:$G,"Not Found")</f>
        <v>Low</v>
      </c>
      <c r="Q193" s="32">
        <f>Table1[[#This Row],[Current Stock]]*Table1[[#This Row],[Unit Cost (Currency)]]</f>
        <v>71400</v>
      </c>
    </row>
    <row r="194" spans="1:17" x14ac:dyDescent="0.3">
      <c r="A194" s="13" t="s">
        <v>249</v>
      </c>
      <c r="B194" s="2">
        <v>46199</v>
      </c>
      <c r="C194" s="1" t="s">
        <v>81</v>
      </c>
      <c r="D194" s="1" t="s">
        <v>17</v>
      </c>
      <c r="E194" s="1" t="s">
        <v>13</v>
      </c>
      <c r="F194" s="1">
        <v>107</v>
      </c>
      <c r="G194" s="1">
        <v>81</v>
      </c>
      <c r="H194" s="1">
        <v>210</v>
      </c>
      <c r="I194" s="1">
        <v>28</v>
      </c>
      <c r="J194" s="14" t="s">
        <v>19</v>
      </c>
      <c r="K194" s="1" t="str">
        <f>_xlfn.XLOOKUP(C194,[1]Sheet!$A:$A,[1]Sheet!$B:$B,"Not Found")</f>
        <v>Component 17</v>
      </c>
      <c r="L194" s="1" t="str">
        <f>_xlfn.XLOOKUP(C194,[1]Sheet!$A:$A,[1]Sheet!$C:$C,"Not Found")</f>
        <v>Safety</v>
      </c>
      <c r="M194" s="29">
        <f>_xlfn.XLOOKUP(C194,[1]Sheet!$A:$A,[1]Sheet!$D:$D,"Not Found")</f>
        <v>285</v>
      </c>
      <c r="N194" s="1" t="str">
        <f>_xlfn.XLOOKUP(C194,[1]Sheet!$A:$A,[1]Sheet!$E:$E,"Not Found")</f>
        <v>Delta</v>
      </c>
      <c r="O194" s="1">
        <f>_xlfn.XLOOKUP(C194,[1]Sheet!$A:$A,[1]Sheet!$F:$F,"Not Found")</f>
        <v>27</v>
      </c>
      <c r="P194" s="1" t="str">
        <f>_xlfn.XLOOKUP(C194,[1]Sheet!$A:$A,[1]Sheet!$G:$G,"Not Found")</f>
        <v>Low</v>
      </c>
      <c r="Q194" s="32">
        <f>Table1[[#This Row],[Current Stock]]*Table1[[#This Row],[Unit Cost (Currency)]]</f>
        <v>59850</v>
      </c>
    </row>
    <row r="195" spans="1:17" x14ac:dyDescent="0.3">
      <c r="A195" s="13" t="s">
        <v>250</v>
      </c>
      <c r="B195" s="2">
        <v>46205</v>
      </c>
      <c r="C195" s="1" t="s">
        <v>149</v>
      </c>
      <c r="D195" s="1" t="s">
        <v>12</v>
      </c>
      <c r="E195" s="1" t="s">
        <v>13</v>
      </c>
      <c r="F195" s="1">
        <v>101</v>
      </c>
      <c r="G195" s="1">
        <v>41</v>
      </c>
      <c r="H195" s="1">
        <v>63</v>
      </c>
      <c r="I195" s="1">
        <v>21</v>
      </c>
      <c r="J195" s="14" t="s">
        <v>14</v>
      </c>
      <c r="K195" s="1" t="str">
        <f>_xlfn.XLOOKUP(C195,[1]Sheet!$A:$A,[1]Sheet!$B:$B,"Not Found")</f>
        <v>Component 38</v>
      </c>
      <c r="L195" s="1" t="str">
        <f>_xlfn.XLOOKUP(C195,[1]Sheet!$A:$A,[1]Sheet!$C:$C,"Not Found")</f>
        <v>Mechanical</v>
      </c>
      <c r="M195" s="29">
        <f>_xlfn.XLOOKUP(C195,[1]Sheet!$A:$A,[1]Sheet!$D:$D,"Not Found")</f>
        <v>306</v>
      </c>
      <c r="N195" s="1" t="str">
        <f>_xlfn.XLOOKUP(C195,[1]Sheet!$A:$A,[1]Sheet!$E:$E,"Not Found")</f>
        <v>Delta</v>
      </c>
      <c r="O195" s="1">
        <f>_xlfn.XLOOKUP(C195,[1]Sheet!$A:$A,[1]Sheet!$F:$F,"Not Found")</f>
        <v>21</v>
      </c>
      <c r="P195" s="1" t="str">
        <f>_xlfn.XLOOKUP(C195,[1]Sheet!$A:$A,[1]Sheet!$G:$G,"Not Found")</f>
        <v>High</v>
      </c>
      <c r="Q195" s="32">
        <f>Table1[[#This Row],[Current Stock]]*Table1[[#This Row],[Unit Cost (Currency)]]</f>
        <v>19278</v>
      </c>
    </row>
    <row r="196" spans="1:17" x14ac:dyDescent="0.3">
      <c r="A196" s="13" t="s">
        <v>251</v>
      </c>
      <c r="B196" s="2">
        <v>46199</v>
      </c>
      <c r="C196" s="1" t="s">
        <v>49</v>
      </c>
      <c r="D196" s="1" t="s">
        <v>12</v>
      </c>
      <c r="E196" s="1" t="s">
        <v>37</v>
      </c>
      <c r="F196" s="1">
        <v>43</v>
      </c>
      <c r="G196" s="1">
        <v>26</v>
      </c>
      <c r="H196" s="1">
        <v>114</v>
      </c>
      <c r="I196" s="1">
        <v>76</v>
      </c>
      <c r="J196" s="14" t="s">
        <v>19</v>
      </c>
      <c r="K196" s="1" t="str">
        <f>_xlfn.XLOOKUP(C196,[1]Sheet!$A:$A,[1]Sheet!$B:$B,"Not Found")</f>
        <v>Component 31</v>
      </c>
      <c r="L196" s="1" t="str">
        <f>_xlfn.XLOOKUP(C196,[1]Sheet!$A:$A,[1]Sheet!$C:$C,"Not Found")</f>
        <v>Mechanical</v>
      </c>
      <c r="M196" s="29">
        <f>_xlfn.XLOOKUP(C196,[1]Sheet!$A:$A,[1]Sheet!$D:$D,"Not Found")</f>
        <v>462</v>
      </c>
      <c r="N196" s="1" t="str">
        <f>_xlfn.XLOOKUP(C196,[1]Sheet!$A:$A,[1]Sheet!$E:$E,"Not Found")</f>
        <v>Central</v>
      </c>
      <c r="O196" s="1">
        <f>_xlfn.XLOOKUP(C196,[1]Sheet!$A:$A,[1]Sheet!$F:$F,"Not Found")</f>
        <v>10</v>
      </c>
      <c r="P196" s="1" t="str">
        <f>_xlfn.XLOOKUP(C196,[1]Sheet!$A:$A,[1]Sheet!$G:$G,"Not Found")</f>
        <v>Low</v>
      </c>
      <c r="Q196" s="32">
        <f>Table1[[#This Row],[Current Stock]]*Table1[[#This Row],[Unit Cost (Currency)]]</f>
        <v>52668</v>
      </c>
    </row>
    <row r="197" spans="1:17" x14ac:dyDescent="0.3">
      <c r="A197" s="13" t="s">
        <v>252</v>
      </c>
      <c r="B197" s="2">
        <v>46206</v>
      </c>
      <c r="C197" s="1" t="s">
        <v>55</v>
      </c>
      <c r="D197" s="1" t="s">
        <v>12</v>
      </c>
      <c r="E197" s="1" t="s">
        <v>37</v>
      </c>
      <c r="F197" s="1">
        <v>84</v>
      </c>
      <c r="G197" s="1">
        <v>17</v>
      </c>
      <c r="H197" s="1">
        <v>111</v>
      </c>
      <c r="I197" s="1">
        <v>70</v>
      </c>
      <c r="J197" s="14" t="s">
        <v>19</v>
      </c>
      <c r="K197" s="1" t="str">
        <f>_xlfn.XLOOKUP(C197,[1]Sheet!$A:$A,[1]Sheet!$B:$B,"Not Found")</f>
        <v>Component 14</v>
      </c>
      <c r="L197" s="1" t="str">
        <f>_xlfn.XLOOKUP(C197,[1]Sheet!$A:$A,[1]Sheet!$C:$C,"Not Found")</f>
        <v>Mechanical</v>
      </c>
      <c r="M197" s="29">
        <f>_xlfn.XLOOKUP(C197,[1]Sheet!$A:$A,[1]Sheet!$D:$D,"Not Found")</f>
        <v>270</v>
      </c>
      <c r="N197" s="1" t="str">
        <f>_xlfn.XLOOKUP(C197,[1]Sheet!$A:$A,[1]Sheet!$E:$E,"Not Found")</f>
        <v>Central</v>
      </c>
      <c r="O197" s="1">
        <f>_xlfn.XLOOKUP(C197,[1]Sheet!$A:$A,[1]Sheet!$F:$F,"Not Found")</f>
        <v>4</v>
      </c>
      <c r="P197" s="1" t="str">
        <f>_xlfn.XLOOKUP(C197,[1]Sheet!$A:$A,[1]Sheet!$G:$G,"Not Found")</f>
        <v>Medium</v>
      </c>
      <c r="Q197" s="32">
        <f>Table1[[#This Row],[Current Stock]]*Table1[[#This Row],[Unit Cost (Currency)]]</f>
        <v>29970</v>
      </c>
    </row>
    <row r="198" spans="1:17" x14ac:dyDescent="0.3">
      <c r="A198" s="13" t="s">
        <v>253</v>
      </c>
      <c r="B198" s="2">
        <v>46209</v>
      </c>
      <c r="C198" s="1" t="s">
        <v>86</v>
      </c>
      <c r="D198" s="1" t="s">
        <v>12</v>
      </c>
      <c r="E198" s="1" t="s">
        <v>13</v>
      </c>
      <c r="F198" s="1">
        <v>18</v>
      </c>
      <c r="G198" s="1">
        <v>72</v>
      </c>
      <c r="H198" s="1">
        <v>226</v>
      </c>
      <c r="I198" s="1">
        <v>20</v>
      </c>
      <c r="J198" s="14" t="s">
        <v>19</v>
      </c>
      <c r="K198" s="1" t="str">
        <f>_xlfn.XLOOKUP(C198,[1]Sheet!$A:$A,[1]Sheet!$B:$B,"Not Found")</f>
        <v>Component 33</v>
      </c>
      <c r="L198" s="1" t="str">
        <f>_xlfn.XLOOKUP(C198,[1]Sheet!$A:$A,[1]Sheet!$C:$C,"Not Found")</f>
        <v>Packaging</v>
      </c>
      <c r="M198" s="29">
        <f>_xlfn.XLOOKUP(C198,[1]Sheet!$A:$A,[1]Sheet!$D:$D,"Not Found")</f>
        <v>293</v>
      </c>
      <c r="N198" s="1" t="str">
        <f>_xlfn.XLOOKUP(C198,[1]Sheet!$A:$A,[1]Sheet!$E:$E,"Not Found")</f>
        <v>Delta</v>
      </c>
      <c r="O198" s="1">
        <f>_xlfn.XLOOKUP(C198,[1]Sheet!$A:$A,[1]Sheet!$F:$F,"Not Found")</f>
        <v>15</v>
      </c>
      <c r="P198" s="1" t="str">
        <f>_xlfn.XLOOKUP(C198,[1]Sheet!$A:$A,[1]Sheet!$G:$G,"Not Found")</f>
        <v>Low</v>
      </c>
      <c r="Q198" s="32">
        <f>Table1[[#This Row],[Current Stock]]*Table1[[#This Row],[Unit Cost (Currency)]]</f>
        <v>66218</v>
      </c>
    </row>
    <row r="199" spans="1:17" x14ac:dyDescent="0.3">
      <c r="A199" s="13" t="s">
        <v>254</v>
      </c>
      <c r="B199" s="2">
        <v>46212</v>
      </c>
      <c r="C199" s="1" t="s">
        <v>16</v>
      </c>
      <c r="D199" s="1" t="s">
        <v>12</v>
      </c>
      <c r="E199" s="1" t="s">
        <v>13</v>
      </c>
      <c r="F199" s="1">
        <v>113</v>
      </c>
      <c r="G199" s="1">
        <v>23</v>
      </c>
      <c r="H199" s="1">
        <v>123</v>
      </c>
      <c r="I199" s="1">
        <v>48</v>
      </c>
      <c r="J199" s="14" t="s">
        <v>19</v>
      </c>
      <c r="K199" s="1" t="str">
        <f>_xlfn.XLOOKUP(C199,[1]Sheet!$A:$A,[1]Sheet!$B:$B,"Not Found")</f>
        <v>Component 39</v>
      </c>
      <c r="L199" s="1" t="str">
        <f>_xlfn.XLOOKUP(C199,[1]Sheet!$A:$A,[1]Sheet!$C:$C,"Not Found")</f>
        <v>Electrical</v>
      </c>
      <c r="M199" s="29">
        <f>_xlfn.XLOOKUP(C199,[1]Sheet!$A:$A,[1]Sheet!$D:$D,"Not Found")</f>
        <v>409</v>
      </c>
      <c r="N199" s="1" t="str">
        <f>_xlfn.XLOOKUP(C199,[1]Sheet!$A:$A,[1]Sheet!$E:$E,"Not Found")</f>
        <v>Central</v>
      </c>
      <c r="O199" s="1">
        <f>_xlfn.XLOOKUP(C199,[1]Sheet!$A:$A,[1]Sheet!$F:$F,"Not Found")</f>
        <v>28</v>
      </c>
      <c r="P199" s="1" t="str">
        <f>_xlfn.XLOOKUP(C199,[1]Sheet!$A:$A,[1]Sheet!$G:$G,"Not Found")</f>
        <v>Low</v>
      </c>
      <c r="Q199" s="32">
        <f>Table1[[#This Row],[Current Stock]]*Table1[[#This Row],[Unit Cost (Currency)]]</f>
        <v>50307</v>
      </c>
    </row>
    <row r="200" spans="1:17" x14ac:dyDescent="0.3">
      <c r="A200" s="13" t="s">
        <v>255</v>
      </c>
      <c r="B200" s="2">
        <v>46194</v>
      </c>
      <c r="C200" s="1" t="s">
        <v>65</v>
      </c>
      <c r="D200" s="1" t="s">
        <v>26</v>
      </c>
      <c r="E200" s="1" t="s">
        <v>37</v>
      </c>
      <c r="F200" s="1">
        <v>44</v>
      </c>
      <c r="G200" s="1">
        <v>29</v>
      </c>
      <c r="H200" s="1">
        <v>159</v>
      </c>
      <c r="I200" s="1">
        <v>66</v>
      </c>
      <c r="J200" s="14" t="s">
        <v>19</v>
      </c>
      <c r="K200" s="1" t="str">
        <f>_xlfn.XLOOKUP(C200,[1]Sheet!$A:$A,[1]Sheet!$B:$B,"Not Found")</f>
        <v>Component 37</v>
      </c>
      <c r="L200" s="1" t="str">
        <f>_xlfn.XLOOKUP(C200,[1]Sheet!$A:$A,[1]Sheet!$C:$C,"Not Found")</f>
        <v>Packaging</v>
      </c>
      <c r="M200" s="29">
        <f>_xlfn.XLOOKUP(C200,[1]Sheet!$A:$A,[1]Sheet!$D:$D,"Not Found")</f>
        <v>186</v>
      </c>
      <c r="N200" s="1" t="str">
        <f>_xlfn.XLOOKUP(C200,[1]Sheet!$A:$A,[1]Sheet!$E:$E,"Not Found")</f>
        <v>Central</v>
      </c>
      <c r="O200" s="1">
        <f>_xlfn.XLOOKUP(C200,[1]Sheet!$A:$A,[1]Sheet!$F:$F,"Not Found")</f>
        <v>19</v>
      </c>
      <c r="P200" s="1" t="str">
        <f>_xlfn.XLOOKUP(C200,[1]Sheet!$A:$A,[1]Sheet!$G:$G,"Not Found")</f>
        <v>Medium</v>
      </c>
      <c r="Q200" s="32">
        <f>Table1[[#This Row],[Current Stock]]*Table1[[#This Row],[Unit Cost (Currency)]]</f>
        <v>29574</v>
      </c>
    </row>
    <row r="201" spans="1:17" x14ac:dyDescent="0.3">
      <c r="A201" s="18" t="s">
        <v>256</v>
      </c>
      <c r="B201" s="19">
        <v>46199</v>
      </c>
      <c r="C201" s="20" t="s">
        <v>83</v>
      </c>
      <c r="D201" s="20" t="s">
        <v>26</v>
      </c>
      <c r="E201" s="20" t="s">
        <v>37</v>
      </c>
      <c r="F201" s="20">
        <v>18</v>
      </c>
      <c r="G201" s="20">
        <v>88</v>
      </c>
      <c r="H201" s="20">
        <v>21</v>
      </c>
      <c r="I201" s="20">
        <v>43</v>
      </c>
      <c r="J201" s="21" t="s">
        <v>19</v>
      </c>
      <c r="K201" s="20" t="str">
        <f>_xlfn.XLOOKUP(C201,[1]Sheet!$A:$A,[1]Sheet!$B:$B,"Not Found")</f>
        <v>Component 7</v>
      </c>
      <c r="L201" s="20" t="str">
        <f>_xlfn.XLOOKUP(C201,[1]Sheet!$A:$A,[1]Sheet!$C:$C,"Not Found")</f>
        <v>Electrical</v>
      </c>
      <c r="M201" s="30">
        <f>_xlfn.XLOOKUP(C201,[1]Sheet!$A:$A,[1]Sheet!$D:$D,"Not Found")</f>
        <v>374</v>
      </c>
      <c r="N201" s="20" t="str">
        <f>_xlfn.XLOOKUP(C201,[1]Sheet!$A:$A,[1]Sheet!$E:$E,"Not Found")</f>
        <v>Bravo</v>
      </c>
      <c r="O201" s="20">
        <f>_xlfn.XLOOKUP(C201,[1]Sheet!$A:$A,[1]Sheet!$F:$F,"Not Found")</f>
        <v>5</v>
      </c>
      <c r="P201" s="20" t="str">
        <f>_xlfn.XLOOKUP(C201,[1]Sheet!$A:$A,[1]Sheet!$G:$G,"Not Found")</f>
        <v>Low</v>
      </c>
      <c r="Q201" s="33">
        <f>Table1[[#This Row],[Current Stock]]*Table1[[#This Row],[Unit Cost (Currency)]]</f>
        <v>7854</v>
      </c>
    </row>
    <row r="204" spans="1:17" ht="18" x14ac:dyDescent="0.35">
      <c r="A204" s="7" t="s">
        <v>257</v>
      </c>
    </row>
    <row r="206" spans="1:17" ht="14.4" customHeight="1" x14ac:dyDescent="0.3">
      <c r="B206" s="142" t="s">
        <v>258</v>
      </c>
      <c r="C206" s="143"/>
      <c r="D206" s="143"/>
      <c r="E206" s="143"/>
      <c r="F206" s="144"/>
      <c r="I206" s="26"/>
    </row>
    <row r="207" spans="1:17" ht="14.4" customHeight="1" x14ac:dyDescent="0.3">
      <c r="B207" s="145"/>
      <c r="C207" s="146"/>
      <c r="D207" s="146"/>
      <c r="E207" s="146"/>
      <c r="F207" s="147"/>
      <c r="I207" s="26"/>
    </row>
    <row r="208" spans="1:17" ht="15.6" x14ac:dyDescent="0.3">
      <c r="B208" s="8" t="s">
        <v>259</v>
      </c>
      <c r="C208" s="9"/>
      <c r="D208" s="9"/>
      <c r="E208" s="148">
        <f>COUNTA(A2:A201)</f>
        <v>200</v>
      </c>
      <c r="F208" s="149"/>
      <c r="I208" s="26"/>
    </row>
    <row r="209" spans="2:9" ht="15.6" x14ac:dyDescent="0.3">
      <c r="B209" s="10" t="s">
        <v>260</v>
      </c>
      <c r="C209" s="11"/>
      <c r="D209" s="11"/>
      <c r="E209" s="148">
        <f>COUNTA(A196:J196)</f>
        <v>10</v>
      </c>
      <c r="F209" s="149"/>
      <c r="I209" s="26"/>
    </row>
    <row r="210" spans="2:9" ht="15.6" x14ac:dyDescent="0.3">
      <c r="B210" s="10" t="s">
        <v>264</v>
      </c>
      <c r="C210" s="11"/>
      <c r="D210" s="11"/>
      <c r="E210" s="148" t="s">
        <v>265</v>
      </c>
      <c r="F210" s="149"/>
      <c r="I210" s="26"/>
    </row>
    <row r="211" spans="2:9" ht="15.6" x14ac:dyDescent="0.3">
      <c r="B211" s="10" t="s">
        <v>266</v>
      </c>
      <c r="C211" s="11"/>
      <c r="D211" s="11"/>
      <c r="E211" s="148" t="s">
        <v>265</v>
      </c>
      <c r="F211" s="149"/>
      <c r="I211" s="26"/>
    </row>
    <row r="212" spans="2:9" ht="15.6" x14ac:dyDescent="0.3">
      <c r="B212" s="10" t="s">
        <v>261</v>
      </c>
      <c r="C212" s="11"/>
      <c r="D212" s="11"/>
      <c r="E212" s="148" t="s">
        <v>262</v>
      </c>
      <c r="F212" s="149"/>
      <c r="I212" s="26"/>
    </row>
    <row r="213" spans="2:9" ht="15.6" x14ac:dyDescent="0.3">
      <c r="B213" s="10" t="s">
        <v>263</v>
      </c>
      <c r="C213" s="11"/>
      <c r="D213" s="11"/>
      <c r="E213" s="148" t="s">
        <v>265</v>
      </c>
      <c r="F213" s="149"/>
      <c r="I213" s="26"/>
    </row>
    <row r="214" spans="2:9" ht="21" customHeight="1" x14ac:dyDescent="0.3">
      <c r="B214" s="150" t="s">
        <v>268</v>
      </c>
      <c r="C214" s="151"/>
      <c r="D214" s="151"/>
      <c r="E214" s="151"/>
      <c r="F214" s="152"/>
    </row>
    <row r="215" spans="2:9" ht="14.4" customHeight="1" x14ac:dyDescent="0.3">
      <c r="B215" s="133" t="s">
        <v>270</v>
      </c>
      <c r="C215" s="134"/>
      <c r="D215" s="134"/>
      <c r="E215" s="134"/>
      <c r="F215" s="135"/>
    </row>
    <row r="216" spans="2:9" ht="14.4" customHeight="1" x14ac:dyDescent="0.3">
      <c r="B216" s="136"/>
      <c r="C216" s="137"/>
      <c r="D216" s="137"/>
      <c r="E216" s="137"/>
      <c r="F216" s="138"/>
      <c r="I216" s="5"/>
    </row>
    <row r="217" spans="2:9" s="5" customFormat="1" ht="15.6" x14ac:dyDescent="0.3">
      <c r="B217" s="136"/>
      <c r="C217" s="137"/>
      <c r="D217" s="137"/>
      <c r="E217" s="137"/>
      <c r="F217" s="138"/>
      <c r="I217"/>
    </row>
    <row r="218" spans="2:9" s="5" customFormat="1" ht="18" x14ac:dyDescent="0.3">
      <c r="B218" s="136"/>
      <c r="C218" s="137"/>
      <c r="D218" s="137"/>
      <c r="E218" s="137"/>
      <c r="F218" s="138"/>
      <c r="I218" s="25"/>
    </row>
    <row r="219" spans="2:9" s="5" customFormat="1" ht="15.6" x14ac:dyDescent="0.3">
      <c r="B219" s="136"/>
      <c r="C219" s="137"/>
      <c r="D219" s="137"/>
      <c r="E219" s="137"/>
      <c r="F219" s="138"/>
      <c r="I219"/>
    </row>
    <row r="220" spans="2:9" s="5" customFormat="1" ht="17.399999999999999" customHeight="1" x14ac:dyDescent="0.3">
      <c r="B220" s="136"/>
      <c r="C220" s="137"/>
      <c r="D220" s="137"/>
      <c r="E220" s="137"/>
      <c r="F220" s="138"/>
      <c r="I220"/>
    </row>
    <row r="221" spans="2:9" s="5" customFormat="1" ht="15.6" x14ac:dyDescent="0.3">
      <c r="B221" s="136"/>
      <c r="C221" s="137"/>
      <c r="D221" s="137"/>
      <c r="E221" s="137"/>
      <c r="F221" s="138"/>
      <c r="I221"/>
    </row>
    <row r="222" spans="2:9" s="5" customFormat="1" ht="15.6" x14ac:dyDescent="0.3">
      <c r="B222" s="136"/>
      <c r="C222" s="137"/>
      <c r="D222" s="137"/>
      <c r="E222" s="137"/>
      <c r="F222" s="138"/>
      <c r="I222"/>
    </row>
    <row r="223" spans="2:9" s="5" customFormat="1" ht="15.6" x14ac:dyDescent="0.3">
      <c r="B223" s="139"/>
      <c r="C223" s="140"/>
      <c r="D223" s="140"/>
      <c r="E223" s="140"/>
      <c r="F223" s="141"/>
      <c r="I223"/>
    </row>
    <row r="224" spans="2:9" s="5" customFormat="1" ht="22.8" customHeight="1" x14ac:dyDescent="0.3">
      <c r="B224" s="153" t="s">
        <v>269</v>
      </c>
      <c r="C224" s="153"/>
      <c r="D224" s="153"/>
      <c r="E224" s="153"/>
      <c r="F224" s="153"/>
      <c r="I224" s="25"/>
    </row>
    <row r="225" spans="1:11" s="5" customFormat="1" ht="15.6" customHeight="1" x14ac:dyDescent="0.3">
      <c r="B225" s="132" t="s">
        <v>267</v>
      </c>
      <c r="C225" s="132"/>
      <c r="D225" s="132"/>
      <c r="E225" s="132"/>
      <c r="F225" s="132"/>
      <c r="I225"/>
    </row>
    <row r="226" spans="1:11" s="5" customFormat="1" ht="15.6" x14ac:dyDescent="0.3">
      <c r="B226" s="132"/>
      <c r="C226" s="132"/>
      <c r="D226" s="132"/>
      <c r="E226" s="132"/>
      <c r="F226" s="132"/>
      <c r="I226"/>
    </row>
    <row r="227" spans="1:11" s="5" customFormat="1" ht="15.6" x14ac:dyDescent="0.3">
      <c r="B227" s="132"/>
      <c r="C227" s="132"/>
      <c r="D227" s="132"/>
      <c r="E227" s="132"/>
      <c r="F227" s="132"/>
      <c r="I227"/>
    </row>
    <row r="228" spans="1:11" s="5" customFormat="1" ht="15.6" x14ac:dyDescent="0.3">
      <c r="B228" s="132"/>
      <c r="C228" s="132"/>
      <c r="D228" s="132"/>
      <c r="E228" s="132"/>
      <c r="F228" s="132"/>
      <c r="I228"/>
    </row>
    <row r="229" spans="1:11" s="5" customFormat="1" ht="15.6" x14ac:dyDescent="0.3">
      <c r="B229" s="132"/>
      <c r="C229" s="132"/>
      <c r="D229" s="132"/>
      <c r="E229" s="132"/>
      <c r="F229" s="132"/>
      <c r="I229"/>
    </row>
    <row r="230" spans="1:11" s="5" customFormat="1" ht="18" x14ac:dyDescent="0.3">
      <c r="A230" s="4"/>
      <c r="I230" s="25"/>
    </row>
    <row r="231" spans="1:11" s="5" customFormat="1" ht="15.6" x14ac:dyDescent="0.3">
      <c r="A231" s="4"/>
      <c r="I231"/>
    </row>
    <row r="232" spans="1:11" s="5" customFormat="1" ht="15.6" x14ac:dyDescent="0.3">
      <c r="A232" s="4"/>
      <c r="I232"/>
    </row>
    <row r="233" spans="1:11" s="5" customFormat="1" ht="18" x14ac:dyDescent="0.35">
      <c r="A233" s="7" t="s">
        <v>271</v>
      </c>
    </row>
    <row r="234" spans="1:11" s="5" customFormat="1" ht="15.6" x14ac:dyDescent="0.3">
      <c r="A234" s="6"/>
    </row>
    <row r="235" spans="1:11" s="5" customFormat="1" ht="18" x14ac:dyDescent="0.35">
      <c r="A235" s="6"/>
      <c r="B235" s="131" t="s">
        <v>272</v>
      </c>
      <c r="C235" s="131"/>
      <c r="D235" s="131"/>
      <c r="E235" s="131"/>
      <c r="F235" s="131"/>
      <c r="K235"/>
    </row>
    <row r="236" spans="1:11" s="5" customFormat="1" ht="15.6" x14ac:dyDescent="0.3">
      <c r="A236" s="12"/>
      <c r="B236" s="12"/>
      <c r="C236" s="12"/>
      <c r="D236" s="12"/>
      <c r="E236" s="12"/>
      <c r="F236" s="12"/>
      <c r="G236" s="12"/>
      <c r="H236" s="12"/>
      <c r="I236" s="12"/>
      <c r="J236" s="12"/>
      <c r="K236" s="26"/>
    </row>
    <row r="237" spans="1:11" s="23" customFormat="1" ht="15.6" x14ac:dyDescent="0.3">
      <c r="A237" s="22"/>
      <c r="B237" s="22" t="s">
        <v>273</v>
      </c>
      <c r="C237" s="22"/>
      <c r="D237" s="22"/>
      <c r="E237" s="22"/>
      <c r="F237" s="22"/>
      <c r="G237" s="22"/>
      <c r="H237" s="22"/>
      <c r="I237" s="22"/>
      <c r="J237" s="22"/>
      <c r="K237" s="27"/>
    </row>
    <row r="238" spans="1:11" s="23" customFormat="1" ht="15.6" x14ac:dyDescent="0.3">
      <c r="A238" s="22"/>
      <c r="B238" s="22" t="s">
        <v>275</v>
      </c>
      <c r="C238" s="22"/>
      <c r="D238" s="22"/>
      <c r="E238" s="22"/>
      <c r="F238" s="22"/>
      <c r="G238" s="22"/>
      <c r="H238" s="22"/>
      <c r="I238" s="22"/>
      <c r="J238" s="22"/>
      <c r="K238" s="26"/>
    </row>
    <row r="239" spans="1:11" s="23" customFormat="1" ht="15.6" x14ac:dyDescent="0.3">
      <c r="A239" s="4"/>
      <c r="B239" s="23" t="s">
        <v>274</v>
      </c>
      <c r="K239" s="26"/>
    </row>
    <row r="240" spans="1:11" s="23" customFormat="1" ht="15.6" x14ac:dyDescent="0.3">
      <c r="A240" s="4"/>
      <c r="K240" s="26"/>
    </row>
    <row r="241" spans="1:11" s="23" customFormat="1" ht="15.6" x14ac:dyDescent="0.3">
      <c r="A241" s="4"/>
      <c r="K241" s="26"/>
    </row>
    <row r="242" spans="1:11" s="23" customFormat="1" ht="15.6" x14ac:dyDescent="0.3">
      <c r="A242" s="4"/>
      <c r="K242" s="26"/>
    </row>
    <row r="243" spans="1:11" s="23" customFormat="1" ht="15.6" x14ac:dyDescent="0.3">
      <c r="A243" s="4"/>
      <c r="K243"/>
    </row>
    <row r="244" spans="1:11" s="23" customFormat="1" ht="15.6" x14ac:dyDescent="0.3">
      <c r="A244" s="4"/>
      <c r="K244"/>
    </row>
    <row r="245" spans="1:11" s="23" customFormat="1" ht="15.6" x14ac:dyDescent="0.3">
      <c r="A245" s="4"/>
    </row>
    <row r="246" spans="1:11" s="23" customFormat="1" ht="15.6" x14ac:dyDescent="0.3">
      <c r="A246" s="4"/>
    </row>
    <row r="247" spans="1:11" s="23" customFormat="1" ht="15.6" x14ac:dyDescent="0.3">
      <c r="A247" s="4"/>
    </row>
    <row r="248" spans="1:11" s="23" customFormat="1" ht="15.6" x14ac:dyDescent="0.3">
      <c r="A248" s="4"/>
    </row>
    <row r="249" spans="1:11" s="23" customFormat="1" ht="15.6" x14ac:dyDescent="0.3">
      <c r="A249" s="4"/>
    </row>
    <row r="250" spans="1:11" s="23" customFormat="1" ht="15.6" x14ac:dyDescent="0.3">
      <c r="A250" s="4"/>
    </row>
    <row r="251" spans="1:11" s="23" customFormat="1" ht="15.6" x14ac:dyDescent="0.3">
      <c r="A251" s="4"/>
    </row>
    <row r="252" spans="1:11" s="23" customFormat="1" ht="15.6" x14ac:dyDescent="0.3">
      <c r="A252" s="4"/>
    </row>
    <row r="253" spans="1:11" s="23" customFormat="1" ht="15.6" x14ac:dyDescent="0.3">
      <c r="A253" s="4"/>
    </row>
    <row r="254" spans="1:11" s="5" customFormat="1" ht="15.6" x14ac:dyDescent="0.3">
      <c r="A254" s="4"/>
    </row>
    <row r="255" spans="1:11" s="5" customFormat="1" ht="15.6" x14ac:dyDescent="0.3">
      <c r="A255" s="4"/>
    </row>
    <row r="256" spans="1:11" s="5" customFormat="1" ht="15.6" x14ac:dyDescent="0.3">
      <c r="A256" s="4"/>
    </row>
    <row r="257" spans="1:1" s="5" customFormat="1" ht="15.6" x14ac:dyDescent="0.3">
      <c r="A257" s="4"/>
    </row>
    <row r="258" spans="1:1" s="5" customFormat="1" ht="15.6" x14ac:dyDescent="0.3">
      <c r="A258" s="4"/>
    </row>
    <row r="259" spans="1:1" s="5" customFormat="1" ht="15.6" x14ac:dyDescent="0.3">
      <c r="A259" s="4"/>
    </row>
    <row r="260" spans="1:1" s="5" customFormat="1" ht="15.6" x14ac:dyDescent="0.3">
      <c r="A260" s="4"/>
    </row>
    <row r="261" spans="1:1" s="5" customFormat="1" ht="15.6" x14ac:dyDescent="0.3">
      <c r="A261" s="4"/>
    </row>
    <row r="262" spans="1:1" s="5" customFormat="1" ht="15.6" x14ac:dyDescent="0.3">
      <c r="A262" s="4"/>
    </row>
    <row r="263" spans="1:1" s="5" customFormat="1" ht="15.6" x14ac:dyDescent="0.3">
      <c r="A263" s="4"/>
    </row>
    <row r="264" spans="1:1" s="5" customFormat="1" ht="15.6" x14ac:dyDescent="0.3">
      <c r="A264" s="4"/>
    </row>
    <row r="265" spans="1:1" s="5" customFormat="1" ht="15.6" x14ac:dyDescent="0.3">
      <c r="A265" s="4"/>
    </row>
    <row r="266" spans="1:1" s="5" customFormat="1" ht="15.6" x14ac:dyDescent="0.3">
      <c r="A266" s="4"/>
    </row>
    <row r="267" spans="1:1" s="5" customFormat="1" ht="15.6" x14ac:dyDescent="0.3">
      <c r="A267" s="4"/>
    </row>
    <row r="268" spans="1:1" s="5" customFormat="1" ht="15.6" x14ac:dyDescent="0.3">
      <c r="A268" s="4"/>
    </row>
    <row r="269" spans="1:1" s="5" customFormat="1" ht="15.6" x14ac:dyDescent="0.3">
      <c r="A269" s="4"/>
    </row>
    <row r="270" spans="1:1" s="5" customFormat="1" ht="15.6" x14ac:dyDescent="0.3">
      <c r="A270" s="4"/>
    </row>
    <row r="271" spans="1:1" s="5" customFormat="1" ht="15.6" x14ac:dyDescent="0.3">
      <c r="A271" s="4"/>
    </row>
    <row r="272" spans="1:1" s="5" customFormat="1" ht="15.6" x14ac:dyDescent="0.3">
      <c r="A272" s="4"/>
    </row>
    <row r="273" spans="1:1" s="5" customFormat="1" ht="15.6" x14ac:dyDescent="0.3">
      <c r="A273" s="4"/>
    </row>
    <row r="274" spans="1:1" s="5" customFormat="1" ht="15.6" x14ac:dyDescent="0.3">
      <c r="A274" s="4"/>
    </row>
    <row r="275" spans="1:1" s="5" customFormat="1" ht="15.6" x14ac:dyDescent="0.3">
      <c r="A275" s="4"/>
    </row>
    <row r="276" spans="1:1" s="5" customFormat="1" ht="15.6" x14ac:dyDescent="0.3">
      <c r="A276" s="4"/>
    </row>
    <row r="277" spans="1:1" s="5" customFormat="1" ht="15.6" x14ac:dyDescent="0.3">
      <c r="A277" s="4"/>
    </row>
    <row r="278" spans="1:1" s="5" customFormat="1" ht="15.6" x14ac:dyDescent="0.3">
      <c r="A278" s="4"/>
    </row>
    <row r="279" spans="1:1" s="5" customFormat="1" ht="15.6" x14ac:dyDescent="0.3">
      <c r="A279" s="4"/>
    </row>
    <row r="280" spans="1:1" s="5" customFormat="1" ht="15.6" x14ac:dyDescent="0.3">
      <c r="A280" s="4"/>
    </row>
    <row r="281" spans="1:1" s="5" customFormat="1" ht="15.6" x14ac:dyDescent="0.3">
      <c r="A281" s="4"/>
    </row>
    <row r="282" spans="1:1" s="5" customFormat="1" ht="15.6" x14ac:dyDescent="0.3">
      <c r="A282" s="4"/>
    </row>
    <row r="283" spans="1:1" s="5" customFormat="1" ht="15.6" x14ac:dyDescent="0.3">
      <c r="A283" s="4"/>
    </row>
    <row r="284" spans="1:1" s="5" customFormat="1" ht="15.6" x14ac:dyDescent="0.3">
      <c r="A284" s="4"/>
    </row>
    <row r="285" spans="1:1" s="5" customFormat="1" ht="15.6" x14ac:dyDescent="0.3">
      <c r="A285" s="4"/>
    </row>
    <row r="286" spans="1:1" x14ac:dyDescent="0.3">
      <c r="A286" s="3"/>
    </row>
    <row r="287" spans="1:1" x14ac:dyDescent="0.3">
      <c r="A287" s="3"/>
    </row>
    <row r="288" spans="1:1" x14ac:dyDescent="0.3">
      <c r="A288" s="3"/>
    </row>
    <row r="289" spans="1:1" x14ac:dyDescent="0.3">
      <c r="A289" s="3"/>
    </row>
    <row r="290" spans="1:1" x14ac:dyDescent="0.3">
      <c r="A290" s="3"/>
    </row>
    <row r="291" spans="1:1" x14ac:dyDescent="0.3">
      <c r="A291" s="3"/>
    </row>
    <row r="292" spans="1:1" x14ac:dyDescent="0.3">
      <c r="A292" s="3"/>
    </row>
    <row r="293" spans="1:1" x14ac:dyDescent="0.3">
      <c r="A293" s="3"/>
    </row>
    <row r="294" spans="1:1" x14ac:dyDescent="0.3">
      <c r="A294" s="3"/>
    </row>
    <row r="295" spans="1:1" x14ac:dyDescent="0.3">
      <c r="A295" s="3"/>
    </row>
    <row r="296" spans="1:1" x14ac:dyDescent="0.3">
      <c r="A296" s="3"/>
    </row>
    <row r="297" spans="1:1" x14ac:dyDescent="0.3">
      <c r="A297" s="3"/>
    </row>
    <row r="298" spans="1:1" x14ac:dyDescent="0.3">
      <c r="A298" s="3"/>
    </row>
    <row r="299" spans="1:1" x14ac:dyDescent="0.3">
      <c r="A299" s="3"/>
    </row>
    <row r="300" spans="1:1" x14ac:dyDescent="0.3">
      <c r="A300" s="3"/>
    </row>
    <row r="301" spans="1:1" x14ac:dyDescent="0.3">
      <c r="A301" s="3"/>
    </row>
    <row r="302" spans="1:1" x14ac:dyDescent="0.3">
      <c r="A302" s="3"/>
    </row>
    <row r="303" spans="1:1" x14ac:dyDescent="0.3">
      <c r="A303" s="3"/>
    </row>
    <row r="304" spans="1:1" x14ac:dyDescent="0.3">
      <c r="A304" s="3"/>
    </row>
    <row r="305" spans="1:1" x14ac:dyDescent="0.3">
      <c r="A305" s="3"/>
    </row>
    <row r="306" spans="1:1" x14ac:dyDescent="0.3">
      <c r="A306" s="3"/>
    </row>
    <row r="307" spans="1:1" x14ac:dyDescent="0.3">
      <c r="A307" s="3"/>
    </row>
    <row r="308" spans="1:1" x14ac:dyDescent="0.3">
      <c r="A308" s="3"/>
    </row>
    <row r="309" spans="1:1" x14ac:dyDescent="0.3">
      <c r="A309" s="3"/>
    </row>
  </sheetData>
  <mergeCells count="78">
    <mergeCell ref="S151:U151"/>
    <mergeCell ref="S159:AF160"/>
    <mergeCell ref="S161:AF162"/>
    <mergeCell ref="S172:AF173"/>
    <mergeCell ref="S175:AF176"/>
    <mergeCell ref="AB139:AB140"/>
    <mergeCell ref="AB141:AB142"/>
    <mergeCell ref="AB143:AB144"/>
    <mergeCell ref="S113:AB114"/>
    <mergeCell ref="AB115:AB122"/>
    <mergeCell ref="AB127:AB128"/>
    <mergeCell ref="AB129:AB130"/>
    <mergeCell ref="AB131:AB132"/>
    <mergeCell ref="AB133:AB134"/>
    <mergeCell ref="AB135:AB136"/>
    <mergeCell ref="Y125:AA126"/>
    <mergeCell ref="Y127:AA128"/>
    <mergeCell ref="Y129:AA130"/>
    <mergeCell ref="Y131:AA132"/>
    <mergeCell ref="Y133:AA134"/>
    <mergeCell ref="Y147:AA148"/>
    <mergeCell ref="AD88:AD89"/>
    <mergeCell ref="AE88:AE89"/>
    <mergeCell ref="AF88:AF89"/>
    <mergeCell ref="AG88:AG89"/>
    <mergeCell ref="AD95:AD96"/>
    <mergeCell ref="AE95:AE96"/>
    <mergeCell ref="AF95:AF96"/>
    <mergeCell ref="AG95:AG96"/>
    <mergeCell ref="AB123:AB124"/>
    <mergeCell ref="AB125:AB126"/>
    <mergeCell ref="Y115:AA116"/>
    <mergeCell ref="Y117:AA118"/>
    <mergeCell ref="Y119:AA120"/>
    <mergeCell ref="Y121:AA122"/>
    <mergeCell ref="Y123:AA124"/>
    <mergeCell ref="Y145:AA146"/>
    <mergeCell ref="S139:X140"/>
    <mergeCell ref="S141:X142"/>
    <mergeCell ref="S135:X136"/>
    <mergeCell ref="S137:X138"/>
    <mergeCell ref="Y135:AA136"/>
    <mergeCell ref="Y137:AA138"/>
    <mergeCell ref="Y139:AA140"/>
    <mergeCell ref="Y141:AA142"/>
    <mergeCell ref="Y143:AA144"/>
    <mergeCell ref="AE39:AF39"/>
    <mergeCell ref="AE40:AF40"/>
    <mergeCell ref="AB41:AD41"/>
    <mergeCell ref="AE41:AF41"/>
    <mergeCell ref="S143:X144"/>
    <mergeCell ref="S123:X124"/>
    <mergeCell ref="S125:X126"/>
    <mergeCell ref="S127:X128"/>
    <mergeCell ref="S129:X130"/>
    <mergeCell ref="S131:X132"/>
    <mergeCell ref="S109:U109"/>
    <mergeCell ref="S115:X116"/>
    <mergeCell ref="S117:X118"/>
    <mergeCell ref="S119:X120"/>
    <mergeCell ref="S121:X122"/>
    <mergeCell ref="AB137:AB138"/>
    <mergeCell ref="S1:AC1"/>
    <mergeCell ref="S5:U5"/>
    <mergeCell ref="B235:F235"/>
    <mergeCell ref="B225:F229"/>
    <mergeCell ref="B215:F223"/>
    <mergeCell ref="B206:F207"/>
    <mergeCell ref="E208:F208"/>
    <mergeCell ref="E209:F209"/>
    <mergeCell ref="E210:F210"/>
    <mergeCell ref="E211:F211"/>
    <mergeCell ref="E212:F212"/>
    <mergeCell ref="E213:F213"/>
    <mergeCell ref="B214:F214"/>
    <mergeCell ref="B224:F224"/>
    <mergeCell ref="AB39:AD39"/>
    <mergeCell ref="S133:X134"/>
  </mergeCells>
  <pageMargins left="0.75" right="0.75" top="1" bottom="1" header="0.5" footer="0.5"/>
  <pageSetup orientation="portrait"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CDDBA-194A-4687-AB9F-E47603245A3B}">
  <dimension ref="A1:Q74"/>
  <sheetViews>
    <sheetView tabSelected="1" zoomScaleNormal="100" workbookViewId="0">
      <selection activeCell="B75" sqref="B75"/>
    </sheetView>
  </sheetViews>
  <sheetFormatPr defaultRowHeight="14.4" x14ac:dyDescent="0.3"/>
  <sheetData>
    <row r="1" spans="1:17" ht="31.2" x14ac:dyDescent="0.3">
      <c r="A1" s="220" t="s">
        <v>414</v>
      </c>
      <c r="B1" s="220"/>
      <c r="C1" s="220"/>
      <c r="D1" s="220"/>
      <c r="E1" s="220"/>
      <c r="F1" s="220"/>
      <c r="G1" s="220"/>
      <c r="H1" s="220"/>
      <c r="I1" s="220"/>
      <c r="J1" s="220"/>
      <c r="K1" s="220"/>
      <c r="L1" s="220"/>
      <c r="M1" s="220"/>
      <c r="N1" s="220"/>
      <c r="O1" s="220"/>
      <c r="P1" s="220"/>
      <c r="Q1" s="220"/>
    </row>
    <row r="2" spans="1:17" x14ac:dyDescent="0.3">
      <c r="A2" s="104"/>
      <c r="B2" s="104"/>
      <c r="C2" s="104"/>
      <c r="D2" s="104"/>
      <c r="E2" s="104"/>
      <c r="F2" s="104"/>
      <c r="G2" s="104"/>
      <c r="H2" s="104"/>
      <c r="I2" s="104"/>
      <c r="J2" s="104"/>
      <c r="K2" s="104"/>
      <c r="L2" s="104"/>
      <c r="M2" s="104"/>
      <c r="N2" s="104"/>
      <c r="O2" s="104"/>
      <c r="P2" s="104"/>
      <c r="Q2" s="104"/>
    </row>
    <row r="3" spans="1:17" ht="28.8" x14ac:dyDescent="0.3">
      <c r="A3" s="221" t="s">
        <v>415</v>
      </c>
      <c r="B3" s="221"/>
      <c r="C3" s="221"/>
      <c r="D3" s="221"/>
      <c r="E3" s="221"/>
      <c r="F3" s="221"/>
      <c r="G3" s="221"/>
      <c r="H3" s="221"/>
      <c r="I3" s="221"/>
      <c r="J3" s="221"/>
      <c r="K3" s="221"/>
      <c r="L3" s="221"/>
      <c r="M3" s="221"/>
      <c r="N3" s="221"/>
      <c r="O3" s="221"/>
      <c r="P3" s="221"/>
      <c r="Q3" s="221"/>
    </row>
    <row r="7" spans="1:17" ht="23.4" x14ac:dyDescent="0.3">
      <c r="A7" s="108" t="s">
        <v>416</v>
      </c>
    </row>
    <row r="8" spans="1:17" ht="15.6" x14ac:dyDescent="0.3">
      <c r="A8" s="105"/>
    </row>
    <row r="9" spans="1:17" ht="15.6" customHeight="1" x14ac:dyDescent="0.3">
      <c r="A9" s="222" t="s">
        <v>417</v>
      </c>
      <c r="B9" s="222"/>
      <c r="C9" s="222"/>
      <c r="D9" s="222"/>
      <c r="E9" s="222"/>
      <c r="F9" s="222"/>
      <c r="G9" s="222"/>
      <c r="H9" s="222"/>
      <c r="I9" s="222"/>
      <c r="J9" s="222"/>
      <c r="K9" s="222"/>
      <c r="L9" s="222"/>
      <c r="M9" s="222"/>
      <c r="N9" s="222"/>
      <c r="O9" s="222"/>
      <c r="P9" s="222"/>
      <c r="Q9" s="222"/>
    </row>
    <row r="10" spans="1:17" ht="15.6" customHeight="1" x14ac:dyDescent="0.3">
      <c r="A10" s="222"/>
      <c r="B10" s="222"/>
      <c r="C10" s="222"/>
      <c r="D10" s="222"/>
      <c r="E10" s="222"/>
      <c r="F10" s="222"/>
      <c r="G10" s="222"/>
      <c r="H10" s="222"/>
      <c r="I10" s="222"/>
      <c r="J10" s="222"/>
      <c r="K10" s="222"/>
      <c r="L10" s="222"/>
      <c r="M10" s="222"/>
      <c r="N10" s="222"/>
      <c r="O10" s="222"/>
      <c r="P10" s="222"/>
      <c r="Q10" s="222"/>
    </row>
    <row r="11" spans="1:17" ht="15.6" customHeight="1" x14ac:dyDescent="0.3">
      <c r="A11" s="222"/>
      <c r="B11" s="222"/>
      <c r="C11" s="222"/>
      <c r="D11" s="222"/>
      <c r="E11" s="222"/>
      <c r="F11" s="222"/>
      <c r="G11" s="222"/>
      <c r="H11" s="222"/>
      <c r="I11" s="222"/>
      <c r="J11" s="222"/>
      <c r="K11" s="222"/>
      <c r="L11" s="222"/>
      <c r="M11" s="222"/>
      <c r="N11" s="222"/>
      <c r="O11" s="222"/>
      <c r="P11" s="222"/>
      <c r="Q11" s="222"/>
    </row>
    <row r="12" spans="1:17" ht="15.6" customHeight="1" x14ac:dyDescent="0.3">
      <c r="A12" s="106"/>
      <c r="B12" s="106"/>
      <c r="C12" s="106"/>
      <c r="D12" s="106"/>
      <c r="E12" s="106"/>
      <c r="F12" s="106"/>
      <c r="G12" s="106"/>
      <c r="H12" s="106"/>
      <c r="I12" s="106"/>
      <c r="J12" s="106"/>
      <c r="K12" s="106"/>
      <c r="L12" s="106"/>
      <c r="M12" s="106"/>
      <c r="N12" s="106"/>
      <c r="O12" s="106"/>
      <c r="P12" s="106"/>
      <c r="Q12" s="106"/>
    </row>
    <row r="13" spans="1:17" ht="15.6" customHeight="1" x14ac:dyDescent="0.3">
      <c r="A13" s="106"/>
      <c r="B13" s="106"/>
      <c r="C13" s="106"/>
      <c r="D13" s="106"/>
      <c r="E13" s="106"/>
      <c r="F13" s="106"/>
      <c r="G13" s="106"/>
      <c r="H13" s="106"/>
      <c r="I13" s="106"/>
      <c r="J13" s="106"/>
      <c r="K13" s="106"/>
      <c r="L13" s="106"/>
      <c r="M13" s="106"/>
      <c r="N13" s="106"/>
      <c r="O13" s="106"/>
      <c r="P13" s="106"/>
      <c r="Q13" s="106"/>
    </row>
    <row r="14" spans="1:17" ht="15.6" x14ac:dyDescent="0.3">
      <c r="A14" s="5"/>
    </row>
    <row r="15" spans="1:17" ht="23.4" x14ac:dyDescent="0.3">
      <c r="A15" s="107" t="s">
        <v>418</v>
      </c>
    </row>
    <row r="16" spans="1:17" ht="15.6" x14ac:dyDescent="0.3">
      <c r="A16" s="105"/>
    </row>
    <row r="17" spans="1:1" ht="15.6" x14ac:dyDescent="0.3">
      <c r="A17" s="105" t="s">
        <v>419</v>
      </c>
    </row>
    <row r="18" spans="1:1" ht="15.6" x14ac:dyDescent="0.3">
      <c r="A18" s="105" t="s">
        <v>420</v>
      </c>
    </row>
    <row r="19" spans="1:1" ht="15.6" x14ac:dyDescent="0.3">
      <c r="A19" s="105" t="s">
        <v>421</v>
      </c>
    </row>
    <row r="20" spans="1:1" ht="15.6" x14ac:dyDescent="0.3">
      <c r="A20" s="105" t="s">
        <v>422</v>
      </c>
    </row>
    <row r="21" spans="1:1" ht="15.6" x14ac:dyDescent="0.3">
      <c r="A21" s="105" t="s">
        <v>423</v>
      </c>
    </row>
    <row r="22" spans="1:1" ht="15.6" x14ac:dyDescent="0.3">
      <c r="A22" s="105" t="s">
        <v>424</v>
      </c>
    </row>
    <row r="23" spans="1:1" ht="15.6" x14ac:dyDescent="0.3">
      <c r="A23" s="105" t="s">
        <v>425</v>
      </c>
    </row>
    <row r="24" spans="1:1" ht="15.6" x14ac:dyDescent="0.3">
      <c r="A24" s="105" t="s">
        <v>426</v>
      </c>
    </row>
    <row r="25" spans="1:1" ht="15.6" x14ac:dyDescent="0.3">
      <c r="A25" s="105" t="s">
        <v>427</v>
      </c>
    </row>
    <row r="26" spans="1:1" ht="15.6" x14ac:dyDescent="0.3">
      <c r="A26" s="5"/>
    </row>
    <row r="27" spans="1:1" ht="15.6" x14ac:dyDescent="0.3">
      <c r="A27" s="5"/>
    </row>
    <row r="28" spans="1:1" ht="15.6" x14ac:dyDescent="0.3">
      <c r="A28" s="5"/>
    </row>
    <row r="29" spans="1:1" ht="23.4" x14ac:dyDescent="0.3">
      <c r="A29" s="107" t="s">
        <v>428</v>
      </c>
    </row>
    <row r="30" spans="1:1" ht="15.6" x14ac:dyDescent="0.3">
      <c r="A30" s="5"/>
    </row>
    <row r="31" spans="1:1" ht="15.6" x14ac:dyDescent="0.3">
      <c r="A31" s="5" t="s">
        <v>429</v>
      </c>
    </row>
    <row r="32" spans="1:1" ht="15.6" x14ac:dyDescent="0.3">
      <c r="A32" s="105"/>
    </row>
    <row r="33" spans="1:17" ht="15.6" x14ac:dyDescent="0.3">
      <c r="A33" s="105" t="s">
        <v>437</v>
      </c>
    </row>
    <row r="34" spans="1:17" ht="15.6" x14ac:dyDescent="0.3">
      <c r="A34" s="105" t="s">
        <v>272</v>
      </c>
    </row>
    <row r="35" spans="1:17" ht="15.6" x14ac:dyDescent="0.3">
      <c r="A35" s="105" t="s">
        <v>283</v>
      </c>
    </row>
    <row r="36" spans="1:17" ht="15.6" x14ac:dyDescent="0.3">
      <c r="A36" s="105" t="s">
        <v>430</v>
      </c>
    </row>
    <row r="37" spans="1:17" ht="15.6" x14ac:dyDescent="0.3">
      <c r="A37" s="105" t="s">
        <v>431</v>
      </c>
    </row>
    <row r="38" spans="1:17" ht="15.6" x14ac:dyDescent="0.3">
      <c r="A38" s="105" t="s">
        <v>432</v>
      </c>
    </row>
    <row r="39" spans="1:17" ht="15.6" x14ac:dyDescent="0.3">
      <c r="A39" s="105" t="s">
        <v>433</v>
      </c>
    </row>
    <row r="40" spans="1:17" ht="15.6" x14ac:dyDescent="0.3">
      <c r="A40" s="105" t="s">
        <v>434</v>
      </c>
    </row>
    <row r="41" spans="1:17" ht="15.6" x14ac:dyDescent="0.3">
      <c r="A41" s="105" t="s">
        <v>435</v>
      </c>
    </row>
    <row r="42" spans="1:17" ht="15.6" x14ac:dyDescent="0.3">
      <c r="A42" s="105" t="s">
        <v>436</v>
      </c>
    </row>
    <row r="43" spans="1:17" ht="15.6" x14ac:dyDescent="0.3">
      <c r="A43" s="5"/>
    </row>
    <row r="44" spans="1:17" ht="15.6" x14ac:dyDescent="0.3">
      <c r="A44" s="5"/>
    </row>
    <row r="45" spans="1:17" ht="15.6" x14ac:dyDescent="0.3">
      <c r="A45" s="5"/>
    </row>
    <row r="46" spans="1:17" ht="23.4" x14ac:dyDescent="0.3">
      <c r="A46" s="107" t="s">
        <v>438</v>
      </c>
    </row>
    <row r="47" spans="1:17" ht="15.6" x14ac:dyDescent="0.3">
      <c r="A47" s="5"/>
    </row>
    <row r="48" spans="1:17" ht="15.6" customHeight="1" x14ac:dyDescent="0.3">
      <c r="A48" s="222" t="s">
        <v>439</v>
      </c>
      <c r="B48" s="222"/>
      <c r="C48" s="222"/>
      <c r="D48" s="222"/>
      <c r="E48" s="222"/>
      <c r="F48" s="222"/>
      <c r="G48" s="222"/>
      <c r="H48" s="222"/>
      <c r="I48" s="222"/>
      <c r="J48" s="222"/>
      <c r="K48" s="222"/>
      <c r="L48" s="222"/>
      <c r="M48" s="222"/>
      <c r="N48" s="222"/>
      <c r="O48" s="222"/>
      <c r="P48" s="222"/>
      <c r="Q48" s="222"/>
    </row>
    <row r="49" spans="1:17" ht="15.6" customHeight="1" x14ac:dyDescent="0.3">
      <c r="A49" s="222"/>
      <c r="B49" s="222"/>
      <c r="C49" s="222"/>
      <c r="D49" s="222"/>
      <c r="E49" s="222"/>
      <c r="F49" s="222"/>
      <c r="G49" s="222"/>
      <c r="H49" s="222"/>
      <c r="I49" s="222"/>
      <c r="J49" s="222"/>
      <c r="K49" s="222"/>
      <c r="L49" s="222"/>
      <c r="M49" s="222"/>
      <c r="N49" s="222"/>
      <c r="O49" s="222"/>
      <c r="P49" s="222"/>
      <c r="Q49" s="222"/>
    </row>
    <row r="50" spans="1:17" ht="15.6" customHeight="1" x14ac:dyDescent="0.3">
      <c r="A50" s="109"/>
      <c r="B50" s="109"/>
      <c r="C50" s="109"/>
      <c r="D50" s="109"/>
      <c r="E50" s="109"/>
      <c r="F50" s="109"/>
      <c r="G50" s="109"/>
      <c r="H50" s="109"/>
      <c r="I50" s="109"/>
      <c r="J50" s="109"/>
      <c r="K50" s="109"/>
      <c r="L50" s="109"/>
      <c r="M50" s="109"/>
      <c r="N50" s="109"/>
      <c r="O50" s="109"/>
      <c r="P50" s="109"/>
      <c r="Q50" s="109"/>
    </row>
    <row r="72" spans="2:2" x14ac:dyDescent="0.3">
      <c r="B72" s="110" t="s">
        <v>440</v>
      </c>
    </row>
    <row r="73" spans="2:2" x14ac:dyDescent="0.3">
      <c r="B73" s="110" t="s">
        <v>442</v>
      </c>
    </row>
    <row r="74" spans="2:2" x14ac:dyDescent="0.3">
      <c r="B74" s="111" t="s">
        <v>441</v>
      </c>
    </row>
  </sheetData>
  <mergeCells count="4">
    <mergeCell ref="A1:Q1"/>
    <mergeCell ref="A3:Q3"/>
    <mergeCell ref="A9:Q11"/>
    <mergeCell ref="A48:Q4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WH vs Inv_value</vt:lpstr>
      <vt:lpstr>Category vs Inv_value</vt:lpstr>
      <vt:lpstr>Item_Value_Analysis</vt:lpstr>
      <vt:lpstr>Re-order_Level_Analysis</vt:lpstr>
      <vt:lpstr>Supplier Distribution</vt:lpstr>
      <vt:lpstr>Inventory_ Criticality</vt:lpstr>
      <vt:lpstr>Lead-time Risk Analysis</vt:lpstr>
      <vt:lpstr>Inventory Transactions</vt:lpstr>
      <vt:lpstr>Project - 003 Portfolio Page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Sanjeewani Pathinayake</cp:lastModifiedBy>
  <dcterms:created xsi:type="dcterms:W3CDTF">2026-07-19T05:13:34Z</dcterms:created>
  <dcterms:modified xsi:type="dcterms:W3CDTF">2026-07-26T10:10:56Z</dcterms:modified>
</cp:coreProperties>
</file>