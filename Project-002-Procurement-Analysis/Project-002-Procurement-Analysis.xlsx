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tables/table1.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LL\Desktop\AI PROJECTS WITH ALEX\Professional DATA ANALYST Development Programme - From Day 24\Client Project - 002\Project 002 - Portfolio\"/>
    </mc:Choice>
  </mc:AlternateContent>
  <xr:revisionPtr revIDLastSave="0" documentId="13_ncr:1_{16CAA345-24CB-4F9F-A2C6-BE81C8AFAFA4}" xr6:coauthVersionLast="47" xr6:coauthVersionMax="47" xr10:uidLastSave="{00000000-0000-0000-0000-000000000000}"/>
  <bookViews>
    <workbookView xWindow="-108" yWindow="-108" windowWidth="23256" windowHeight="12456" firstSheet="7" activeTab="10" xr2:uid="{00000000-000D-0000-FFFF-FFFF00000000}"/>
  </bookViews>
  <sheets>
    <sheet name="Supplier vs Spend" sheetId="2" r:id="rId1"/>
    <sheet name="Category vs Spend" sheetId="3" r:id="rId2"/>
    <sheet name="Department vs Spend" sheetId="4" r:id="rId3"/>
    <sheet name="Item vs Spend" sheetId="5" r:id="rId4"/>
    <sheet name="PO Status Analysis" sheetId="6" r:id="rId5"/>
    <sheet name="On-Time Analysis" sheetId="8" r:id="rId6"/>
    <sheet name="Quality Analysis" sheetId="9" r:id="rId7"/>
    <sheet name="Lead Days Analysis" sheetId="10" r:id="rId8"/>
    <sheet name="PO Status Detailed Analysis" sheetId="11" r:id="rId9"/>
    <sheet name="Procurement_Data" sheetId="1" r:id="rId10"/>
    <sheet name="Project - 002 Portfolio Page" sheetId="12" r:id="rId11"/>
  </sheets>
  <calcPr calcId="191029"/>
  <pivotCaches>
    <pivotCache cacheId="0"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255" i="1" l="1"/>
  <c r="W255" i="1"/>
  <c r="V255" i="1"/>
  <c r="U255" i="1"/>
  <c r="T255" i="1"/>
  <c r="S255" i="1"/>
  <c r="X254" i="1"/>
  <c r="W254" i="1"/>
  <c r="V254" i="1"/>
  <c r="U254" i="1"/>
  <c r="T254" i="1"/>
  <c r="S254" i="1"/>
  <c r="X253" i="1"/>
  <c r="W253" i="1"/>
  <c r="V253" i="1"/>
  <c r="U253" i="1"/>
  <c r="T253" i="1"/>
  <c r="S253" i="1"/>
  <c r="K31" i="11"/>
  <c r="J31" i="11"/>
  <c r="I31" i="11"/>
  <c r="H31" i="11"/>
  <c r="G31" i="11"/>
  <c r="F31" i="11"/>
  <c r="K30" i="11"/>
  <c r="J30" i="11"/>
  <c r="I30" i="11"/>
  <c r="H30" i="11"/>
  <c r="G30" i="11"/>
  <c r="F30" i="11"/>
  <c r="U207" i="1"/>
  <c r="U233" i="1"/>
  <c r="U231" i="1"/>
  <c r="U229" i="1"/>
  <c r="U225" i="1"/>
  <c r="U221" i="1"/>
  <c r="U217" i="1"/>
  <c r="U205" i="1"/>
  <c r="U203" i="1"/>
  <c r="U201" i="1"/>
  <c r="D609" i="1"/>
  <c r="D608" i="1"/>
</calcChain>
</file>

<file path=xl/sharedStrings.xml><?xml version="1.0" encoding="utf-8"?>
<sst xmlns="http://schemas.openxmlformats.org/spreadsheetml/2006/main" count="3891" uniqueCount="807">
  <si>
    <t>Supplier</t>
  </si>
  <si>
    <t>Category</t>
  </si>
  <si>
    <t>Department</t>
  </si>
  <si>
    <t>Item</t>
  </si>
  <si>
    <t>Qty</t>
  </si>
  <si>
    <t>Quality</t>
  </si>
  <si>
    <t>Status</t>
  </si>
  <si>
    <t>PO10001</t>
  </si>
  <si>
    <t>Alpha</t>
  </si>
  <si>
    <t>MRO</t>
  </si>
  <si>
    <t>Admin</t>
  </si>
  <si>
    <t>Boxes</t>
  </si>
  <si>
    <t>Cancelled</t>
  </si>
  <si>
    <t>PO10002</t>
  </si>
  <si>
    <t>Prime</t>
  </si>
  <si>
    <t>Raw Materials</t>
  </si>
  <si>
    <t>Warehouse</t>
  </si>
  <si>
    <t>Freight</t>
  </si>
  <si>
    <t>PO10003</t>
  </si>
  <si>
    <t>Packaging</t>
  </si>
  <si>
    <t>Maintenance</t>
  </si>
  <si>
    <t>Laptop</t>
  </si>
  <si>
    <t>Completed</t>
  </si>
  <si>
    <t>PO10004</t>
  </si>
  <si>
    <t>IT</t>
  </si>
  <si>
    <t>Bearings</t>
  </si>
  <si>
    <t>PO10005</t>
  </si>
  <si>
    <t>Delta</t>
  </si>
  <si>
    <t>Logistics</t>
  </si>
  <si>
    <t>PO10006</t>
  </si>
  <si>
    <t>Gamma</t>
  </si>
  <si>
    <t>Steel</t>
  </si>
  <si>
    <t>Pending</t>
  </si>
  <si>
    <t>PO10007</t>
  </si>
  <si>
    <t>PO10008</t>
  </si>
  <si>
    <t>Beta</t>
  </si>
  <si>
    <t>PO10009</t>
  </si>
  <si>
    <t>alpha</t>
  </si>
  <si>
    <t>PO10010</t>
  </si>
  <si>
    <t>PO10011</t>
  </si>
  <si>
    <t>Omega</t>
  </si>
  <si>
    <t>PO10012</t>
  </si>
  <si>
    <t>Production</t>
  </si>
  <si>
    <t>PO10013</t>
  </si>
  <si>
    <t>PO10014</t>
  </si>
  <si>
    <t>PO10015</t>
  </si>
  <si>
    <t>PO10016</t>
  </si>
  <si>
    <t>PO10017</t>
  </si>
  <si>
    <t>PO10018</t>
  </si>
  <si>
    <t>PO10019</t>
  </si>
  <si>
    <t>PO10020</t>
  </si>
  <si>
    <t>PO10021</t>
  </si>
  <si>
    <t>PO10022</t>
  </si>
  <si>
    <t>PO10023</t>
  </si>
  <si>
    <t>PO10024</t>
  </si>
  <si>
    <t>PO10025</t>
  </si>
  <si>
    <t>PO10026</t>
  </si>
  <si>
    <t>PO10027</t>
  </si>
  <si>
    <t>PO10028</t>
  </si>
  <si>
    <t>PO10029</t>
  </si>
  <si>
    <t>PO10030</t>
  </si>
  <si>
    <t>PO10031</t>
  </si>
  <si>
    <t>PO10032</t>
  </si>
  <si>
    <t>PO10033</t>
  </si>
  <si>
    <t>PO10034</t>
  </si>
  <si>
    <t>PO10035</t>
  </si>
  <si>
    <t>PO10036</t>
  </si>
  <si>
    <t>PO10037</t>
  </si>
  <si>
    <t>PO10038</t>
  </si>
  <si>
    <t>PO10039</t>
  </si>
  <si>
    <t>PO10040</t>
  </si>
  <si>
    <t>PO10041</t>
  </si>
  <si>
    <t>PO10042</t>
  </si>
  <si>
    <t>PO10043</t>
  </si>
  <si>
    <t>PO10044</t>
  </si>
  <si>
    <t>PO10045</t>
  </si>
  <si>
    <t>PO10046</t>
  </si>
  <si>
    <t>PO10047</t>
  </si>
  <si>
    <t>PO10048</t>
  </si>
  <si>
    <t>PO10049</t>
  </si>
  <si>
    <t>PO10050</t>
  </si>
  <si>
    <t>PO10051</t>
  </si>
  <si>
    <t>PO10052</t>
  </si>
  <si>
    <t>PO10053</t>
  </si>
  <si>
    <t>PO10054</t>
  </si>
  <si>
    <t>PO10055</t>
  </si>
  <si>
    <t>PO10056</t>
  </si>
  <si>
    <t>PO10057</t>
  </si>
  <si>
    <t>PO10058</t>
  </si>
  <si>
    <t>PO10059</t>
  </si>
  <si>
    <t>PO10060</t>
  </si>
  <si>
    <t>PO10061</t>
  </si>
  <si>
    <t>PO10062</t>
  </si>
  <si>
    <t>PO10063</t>
  </si>
  <si>
    <t>PO10064</t>
  </si>
  <si>
    <t>PO10065</t>
  </si>
  <si>
    <t>PO10066</t>
  </si>
  <si>
    <t>PO10067</t>
  </si>
  <si>
    <t>PO10068</t>
  </si>
  <si>
    <t>PO10069</t>
  </si>
  <si>
    <t>PO10070</t>
  </si>
  <si>
    <t>PO10071</t>
  </si>
  <si>
    <t>PO10072</t>
  </si>
  <si>
    <t>PO10073</t>
  </si>
  <si>
    <t>PO10074</t>
  </si>
  <si>
    <t>PO10075</t>
  </si>
  <si>
    <t>PO10076</t>
  </si>
  <si>
    <t>PO10077</t>
  </si>
  <si>
    <t>PO10078</t>
  </si>
  <si>
    <t>PO10079</t>
  </si>
  <si>
    <t>PO10080</t>
  </si>
  <si>
    <t>PO10081</t>
  </si>
  <si>
    <t>PO10082</t>
  </si>
  <si>
    <t>PO10083</t>
  </si>
  <si>
    <t>PO10084</t>
  </si>
  <si>
    <t>PO10085</t>
  </si>
  <si>
    <t>PO10086</t>
  </si>
  <si>
    <t>PO10087</t>
  </si>
  <si>
    <t>PO10088</t>
  </si>
  <si>
    <t>PO10089</t>
  </si>
  <si>
    <t>PO10090</t>
  </si>
  <si>
    <t>PO10091</t>
  </si>
  <si>
    <t>PO10092</t>
  </si>
  <si>
    <t>PO10093</t>
  </si>
  <si>
    <t>PO10094</t>
  </si>
  <si>
    <t>PO10095</t>
  </si>
  <si>
    <t>PO10096</t>
  </si>
  <si>
    <t>PO10097</t>
  </si>
  <si>
    <t>PO10098</t>
  </si>
  <si>
    <t>PO10099</t>
  </si>
  <si>
    <t>PO10100</t>
  </si>
  <si>
    <t>PO10101</t>
  </si>
  <si>
    <t>PO10102</t>
  </si>
  <si>
    <t>PO10103</t>
  </si>
  <si>
    <t>PO10104</t>
  </si>
  <si>
    <t>PO10105</t>
  </si>
  <si>
    <t>PO10106</t>
  </si>
  <si>
    <t>PO10107</t>
  </si>
  <si>
    <t>PO10108</t>
  </si>
  <si>
    <t>PO10109</t>
  </si>
  <si>
    <t>PO10110</t>
  </si>
  <si>
    <t>PO10111</t>
  </si>
  <si>
    <t>PO10112</t>
  </si>
  <si>
    <t>PO10113</t>
  </si>
  <si>
    <t>PO10114</t>
  </si>
  <si>
    <t>PO10115</t>
  </si>
  <si>
    <t>PO10116</t>
  </si>
  <si>
    <t>PO10117</t>
  </si>
  <si>
    <t>PO10118</t>
  </si>
  <si>
    <t>PO10119</t>
  </si>
  <si>
    <t>PO10120</t>
  </si>
  <si>
    <t>PO10121</t>
  </si>
  <si>
    <t>PO10122</t>
  </si>
  <si>
    <t>PO10123</t>
  </si>
  <si>
    <t>PO10124</t>
  </si>
  <si>
    <t>PO10125</t>
  </si>
  <si>
    <t>PO10126</t>
  </si>
  <si>
    <t>PO10127</t>
  </si>
  <si>
    <t>PO10128</t>
  </si>
  <si>
    <t>PO10129</t>
  </si>
  <si>
    <t>PO10130</t>
  </si>
  <si>
    <t>PO10131</t>
  </si>
  <si>
    <t>PO10132</t>
  </si>
  <si>
    <t>PO10133</t>
  </si>
  <si>
    <t>PO10134</t>
  </si>
  <si>
    <t>PO10135</t>
  </si>
  <si>
    <t>PO10136</t>
  </si>
  <si>
    <t>PO10137</t>
  </si>
  <si>
    <t>PO10138</t>
  </si>
  <si>
    <t>PO10139</t>
  </si>
  <si>
    <t>PO10140</t>
  </si>
  <si>
    <t>PO10141</t>
  </si>
  <si>
    <t>PO10142</t>
  </si>
  <si>
    <t>PO10143</t>
  </si>
  <si>
    <t>PO10144</t>
  </si>
  <si>
    <t>PO10145</t>
  </si>
  <si>
    <t>PO10146</t>
  </si>
  <si>
    <t>PO10147</t>
  </si>
  <si>
    <t>PO10148</t>
  </si>
  <si>
    <t>PO10149</t>
  </si>
  <si>
    <t>PO10150</t>
  </si>
  <si>
    <t>PO10151</t>
  </si>
  <si>
    <t>PO10152</t>
  </si>
  <si>
    <t>PO10153</t>
  </si>
  <si>
    <t>PO10154</t>
  </si>
  <si>
    <t>PO10155</t>
  </si>
  <si>
    <t>PO10156</t>
  </si>
  <si>
    <t>PO10157</t>
  </si>
  <si>
    <t>PO10158</t>
  </si>
  <si>
    <t>PO10159</t>
  </si>
  <si>
    <t>PO10160</t>
  </si>
  <si>
    <t>PO10161</t>
  </si>
  <si>
    <t>PO10162</t>
  </si>
  <si>
    <t>PO10163</t>
  </si>
  <si>
    <t>PO10164</t>
  </si>
  <si>
    <t>PO10165</t>
  </si>
  <si>
    <t>PO10166</t>
  </si>
  <si>
    <t>PO10167</t>
  </si>
  <si>
    <t>PO10168</t>
  </si>
  <si>
    <t>PO10169</t>
  </si>
  <si>
    <t>PO10170</t>
  </si>
  <si>
    <t>PO10171</t>
  </si>
  <si>
    <t>PO10172</t>
  </si>
  <si>
    <t>PO10173</t>
  </si>
  <si>
    <t>PO10174</t>
  </si>
  <si>
    <t>PO10175</t>
  </si>
  <si>
    <t>PO10176</t>
  </si>
  <si>
    <t>PO10177</t>
  </si>
  <si>
    <t>PO10178</t>
  </si>
  <si>
    <t>PO10179</t>
  </si>
  <si>
    <t>PO10180</t>
  </si>
  <si>
    <t>PO10181</t>
  </si>
  <si>
    <t>PO10182</t>
  </si>
  <si>
    <t>PO10183</t>
  </si>
  <si>
    <t>PO10184</t>
  </si>
  <si>
    <t>PO10185</t>
  </si>
  <si>
    <t>PO10186</t>
  </si>
  <si>
    <t>PO10187</t>
  </si>
  <si>
    <t>PO10188</t>
  </si>
  <si>
    <t>PO10189</t>
  </si>
  <si>
    <t>PO10190</t>
  </si>
  <si>
    <t>PO10191</t>
  </si>
  <si>
    <t>PO10192</t>
  </si>
  <si>
    <t>PO10193</t>
  </si>
  <si>
    <t>PO10194</t>
  </si>
  <si>
    <t>PO10195</t>
  </si>
  <si>
    <t>PO10196</t>
  </si>
  <si>
    <t>PO10197</t>
  </si>
  <si>
    <t>PO10198</t>
  </si>
  <si>
    <t>PO10199</t>
  </si>
  <si>
    <t>PO10200</t>
  </si>
  <si>
    <t>PO10201</t>
  </si>
  <si>
    <t>PO10202</t>
  </si>
  <si>
    <t>PO10203</t>
  </si>
  <si>
    <t>PO10204</t>
  </si>
  <si>
    <t>PO10205</t>
  </si>
  <si>
    <t>PO10206</t>
  </si>
  <si>
    <t>PO10207</t>
  </si>
  <si>
    <t>PO10208</t>
  </si>
  <si>
    <t>PO10209</t>
  </si>
  <si>
    <t>PO10210</t>
  </si>
  <si>
    <t>PO10211</t>
  </si>
  <si>
    <t>PO10212</t>
  </si>
  <si>
    <t>PO10213</t>
  </si>
  <si>
    <t>PO10214</t>
  </si>
  <si>
    <t>PO10215</t>
  </si>
  <si>
    <t>PO10216</t>
  </si>
  <si>
    <t>PO10217</t>
  </si>
  <si>
    <t>PO10218</t>
  </si>
  <si>
    <t>PO10219</t>
  </si>
  <si>
    <t>PO10220</t>
  </si>
  <si>
    <t>PO10221</t>
  </si>
  <si>
    <t>PO10222</t>
  </si>
  <si>
    <t>PO10223</t>
  </si>
  <si>
    <t>PO10224</t>
  </si>
  <si>
    <t>PO10225</t>
  </si>
  <si>
    <t>PO10226</t>
  </si>
  <si>
    <t>PO10227</t>
  </si>
  <si>
    <t>PO10228</t>
  </si>
  <si>
    <t>PO10229</t>
  </si>
  <si>
    <t>PO10230</t>
  </si>
  <si>
    <t>PO10231</t>
  </si>
  <si>
    <t>PO10232</t>
  </si>
  <si>
    <t>PO10233</t>
  </si>
  <si>
    <t>PO10234</t>
  </si>
  <si>
    <t>PO10235</t>
  </si>
  <si>
    <t>PO10236</t>
  </si>
  <si>
    <t>PO10237</t>
  </si>
  <si>
    <t>PO10238</t>
  </si>
  <si>
    <t>PO10239</t>
  </si>
  <si>
    <t>PO10240</t>
  </si>
  <si>
    <t>PO10241</t>
  </si>
  <si>
    <t>PO10242</t>
  </si>
  <si>
    <t>PO10243</t>
  </si>
  <si>
    <t>PO10244</t>
  </si>
  <si>
    <t>PO10245</t>
  </si>
  <si>
    <t>PO10246</t>
  </si>
  <si>
    <t>PO10247</t>
  </si>
  <si>
    <t>PO10248</t>
  </si>
  <si>
    <t>PO10249</t>
  </si>
  <si>
    <t>PO10250</t>
  </si>
  <si>
    <t>PO10251</t>
  </si>
  <si>
    <t>PO10252</t>
  </si>
  <si>
    <t>PO10253</t>
  </si>
  <si>
    <t>PO10254</t>
  </si>
  <si>
    <t>PO10255</t>
  </si>
  <si>
    <t>PO10256</t>
  </si>
  <si>
    <t>PO10257</t>
  </si>
  <si>
    <t>PO10258</t>
  </si>
  <si>
    <t>PO10259</t>
  </si>
  <si>
    <t>PO10260</t>
  </si>
  <si>
    <t>PO10261</t>
  </si>
  <si>
    <t>PO10262</t>
  </si>
  <si>
    <t>PO10263</t>
  </si>
  <si>
    <t>PO10264</t>
  </si>
  <si>
    <t>PO10265</t>
  </si>
  <si>
    <t>PO10266</t>
  </si>
  <si>
    <t>PO10267</t>
  </si>
  <si>
    <t>PO10268</t>
  </si>
  <si>
    <t>PO10269</t>
  </si>
  <si>
    <t>PO10270</t>
  </si>
  <si>
    <t>PO10271</t>
  </si>
  <si>
    <t>PO10272</t>
  </si>
  <si>
    <t>PO10273</t>
  </si>
  <si>
    <t>PO10274</t>
  </si>
  <si>
    <t>PO10275</t>
  </si>
  <si>
    <t>PO10276</t>
  </si>
  <si>
    <t>PO10277</t>
  </si>
  <si>
    <t>PO10278</t>
  </si>
  <si>
    <t>PO10279</t>
  </si>
  <si>
    <t>PO10280</t>
  </si>
  <si>
    <t>PO10281</t>
  </si>
  <si>
    <t>PO10282</t>
  </si>
  <si>
    <t>PO10283</t>
  </si>
  <si>
    <t>PO10284</t>
  </si>
  <si>
    <t>PO10285</t>
  </si>
  <si>
    <t>PO10286</t>
  </si>
  <si>
    <t>PO10287</t>
  </si>
  <si>
    <t>PO10288</t>
  </si>
  <si>
    <t>PO10289</t>
  </si>
  <si>
    <t>PO10290</t>
  </si>
  <si>
    <t>PO10291</t>
  </si>
  <si>
    <t>PO10292</t>
  </si>
  <si>
    <t>PO10293</t>
  </si>
  <si>
    <t>PO10294</t>
  </si>
  <si>
    <t>PO10295</t>
  </si>
  <si>
    <t>PO10296</t>
  </si>
  <si>
    <t>PO10297</t>
  </si>
  <si>
    <t>PO10298</t>
  </si>
  <si>
    <t>PO10299</t>
  </si>
  <si>
    <t>PO10300</t>
  </si>
  <si>
    <t>PO10301</t>
  </si>
  <si>
    <t>PO10302</t>
  </si>
  <si>
    <t>PO10303</t>
  </si>
  <si>
    <t>PO10304</t>
  </si>
  <si>
    <t>PO10305</t>
  </si>
  <si>
    <t>PO10306</t>
  </si>
  <si>
    <t>PO10307</t>
  </si>
  <si>
    <t>PO10308</t>
  </si>
  <si>
    <t>PO10309</t>
  </si>
  <si>
    <t>PO10310</t>
  </si>
  <si>
    <t>PO10311</t>
  </si>
  <si>
    <t>PO10312</t>
  </si>
  <si>
    <t>PO10313</t>
  </si>
  <si>
    <t>PO10314</t>
  </si>
  <si>
    <t>PO10315</t>
  </si>
  <si>
    <t>PO10316</t>
  </si>
  <si>
    <t>PO10317</t>
  </si>
  <si>
    <t>PO10318</t>
  </si>
  <si>
    <t>PO10319</t>
  </si>
  <si>
    <t>PO10320</t>
  </si>
  <si>
    <t>PO10321</t>
  </si>
  <si>
    <t>PO10322</t>
  </si>
  <si>
    <t>PO10323</t>
  </si>
  <si>
    <t>PO10324</t>
  </si>
  <si>
    <t>PO10325</t>
  </si>
  <si>
    <t>PO10326</t>
  </si>
  <si>
    <t>PO10327</t>
  </si>
  <si>
    <t>PO10328</t>
  </si>
  <si>
    <t>PO10329</t>
  </si>
  <si>
    <t>PO10330</t>
  </si>
  <si>
    <t>PO10331</t>
  </si>
  <si>
    <t>PO10332</t>
  </si>
  <si>
    <t>PO10333</t>
  </si>
  <si>
    <t>PO10334</t>
  </si>
  <si>
    <t>PO10335</t>
  </si>
  <si>
    <t>PO10336</t>
  </si>
  <si>
    <t>PO10337</t>
  </si>
  <si>
    <t>PO10338</t>
  </si>
  <si>
    <t>PO10339</t>
  </si>
  <si>
    <t>PO10340</t>
  </si>
  <si>
    <t>PO10341</t>
  </si>
  <si>
    <t>PO10342</t>
  </si>
  <si>
    <t>PO10343</t>
  </si>
  <si>
    <t>PO10344</t>
  </si>
  <si>
    <t>PO10345</t>
  </si>
  <si>
    <t>PO10346</t>
  </si>
  <si>
    <t>PO10347</t>
  </si>
  <si>
    <t>PO10348</t>
  </si>
  <si>
    <t>PO10349</t>
  </si>
  <si>
    <t>PO10350</t>
  </si>
  <si>
    <t>PO10351</t>
  </si>
  <si>
    <t>PO10352</t>
  </si>
  <si>
    <t>PO10353</t>
  </si>
  <si>
    <t>PO10354</t>
  </si>
  <si>
    <t>PO10355</t>
  </si>
  <si>
    <t>PO10356</t>
  </si>
  <si>
    <t>PO10357</t>
  </si>
  <si>
    <t>PO10358</t>
  </si>
  <si>
    <t>PO10359</t>
  </si>
  <si>
    <t>PO10360</t>
  </si>
  <si>
    <t>PO10361</t>
  </si>
  <si>
    <t>PO10362</t>
  </si>
  <si>
    <t>PO10363</t>
  </si>
  <si>
    <t>PO10364</t>
  </si>
  <si>
    <t>PO10365</t>
  </si>
  <si>
    <t>PO10366</t>
  </si>
  <si>
    <t>PO10367</t>
  </si>
  <si>
    <t>PO10368</t>
  </si>
  <si>
    <t>PO10369</t>
  </si>
  <si>
    <t>PO10370</t>
  </si>
  <si>
    <t>PO10371</t>
  </si>
  <si>
    <t>PO10372</t>
  </si>
  <si>
    <t>PO10373</t>
  </si>
  <si>
    <t>PO10374</t>
  </si>
  <si>
    <t>PO10375</t>
  </si>
  <si>
    <t>PO10376</t>
  </si>
  <si>
    <t>PO10377</t>
  </si>
  <si>
    <t>PO10378</t>
  </si>
  <si>
    <t>PO10379</t>
  </si>
  <si>
    <t>PO10380</t>
  </si>
  <si>
    <t>PO10381</t>
  </si>
  <si>
    <t>PO10382</t>
  </si>
  <si>
    <t>PO10383</t>
  </si>
  <si>
    <t>PO10384</t>
  </si>
  <si>
    <t>PO10385</t>
  </si>
  <si>
    <t>PO10386</t>
  </si>
  <si>
    <t>PO10387</t>
  </si>
  <si>
    <t>PO10388</t>
  </si>
  <si>
    <t>PO10389</t>
  </si>
  <si>
    <t>PO10390</t>
  </si>
  <si>
    <t>PO10391</t>
  </si>
  <si>
    <t>PO10392</t>
  </si>
  <si>
    <t>PO10393</t>
  </si>
  <si>
    <t>PO10394</t>
  </si>
  <si>
    <t>PO10395</t>
  </si>
  <si>
    <t>PO10396</t>
  </si>
  <si>
    <t>PO10397</t>
  </si>
  <si>
    <t>PO10398</t>
  </si>
  <si>
    <t>PO10399</t>
  </si>
  <si>
    <t>PO10400</t>
  </si>
  <si>
    <t>PO10401</t>
  </si>
  <si>
    <t>PO10402</t>
  </si>
  <si>
    <t>PO10403</t>
  </si>
  <si>
    <t>PO10404</t>
  </si>
  <si>
    <t>PO10405</t>
  </si>
  <si>
    <t>PO10406</t>
  </si>
  <si>
    <t>PO10407</t>
  </si>
  <si>
    <t>PO10408</t>
  </si>
  <si>
    <t>PO10409</t>
  </si>
  <si>
    <t>PO10410</t>
  </si>
  <si>
    <t>PO10411</t>
  </si>
  <si>
    <t>PO10412</t>
  </si>
  <si>
    <t>PO10413</t>
  </si>
  <si>
    <t>PO10414</t>
  </si>
  <si>
    <t>PO10415</t>
  </si>
  <si>
    <t>PO10416</t>
  </si>
  <si>
    <t>PO10417</t>
  </si>
  <si>
    <t>PO10418</t>
  </si>
  <si>
    <t>PO10419</t>
  </si>
  <si>
    <t>PO10420</t>
  </si>
  <si>
    <t>PO10421</t>
  </si>
  <si>
    <t>PO10422</t>
  </si>
  <si>
    <t>PO10423</t>
  </si>
  <si>
    <t>PO10424</t>
  </si>
  <si>
    <t>PO10425</t>
  </si>
  <si>
    <t>PO10426</t>
  </si>
  <si>
    <t>PO10427</t>
  </si>
  <si>
    <t>PO10428</t>
  </si>
  <si>
    <t>PO10429</t>
  </si>
  <si>
    <t>PO10430</t>
  </si>
  <si>
    <t>PO10431</t>
  </si>
  <si>
    <t>PO10432</t>
  </si>
  <si>
    <t>PO10433</t>
  </si>
  <si>
    <t>PO10434</t>
  </si>
  <si>
    <t>PO10435</t>
  </si>
  <si>
    <t>PO10436</t>
  </si>
  <si>
    <t>PO10437</t>
  </si>
  <si>
    <t>PO10438</t>
  </si>
  <si>
    <t>PO10439</t>
  </si>
  <si>
    <t>PO10440</t>
  </si>
  <si>
    <t>PO10441</t>
  </si>
  <si>
    <t>PO10442</t>
  </si>
  <si>
    <t>PO10443</t>
  </si>
  <si>
    <t>PO10444</t>
  </si>
  <si>
    <t>PO10445</t>
  </si>
  <si>
    <t>PO10446</t>
  </si>
  <si>
    <t>PO10447</t>
  </si>
  <si>
    <t>PO10448</t>
  </si>
  <si>
    <t>PO10449</t>
  </si>
  <si>
    <t>PO10450</t>
  </si>
  <si>
    <t>PO10451</t>
  </si>
  <si>
    <t>PO10452</t>
  </si>
  <si>
    <t>PO10453</t>
  </si>
  <si>
    <t>PO10454</t>
  </si>
  <si>
    <t>PO10455</t>
  </si>
  <si>
    <t>PO10456</t>
  </si>
  <si>
    <t>PO10457</t>
  </si>
  <si>
    <t>PO10458</t>
  </si>
  <si>
    <t>PO10459</t>
  </si>
  <si>
    <t>PO10460</t>
  </si>
  <si>
    <t>PO10461</t>
  </si>
  <si>
    <t>PO10462</t>
  </si>
  <si>
    <t>PO10463</t>
  </si>
  <si>
    <t>PO10464</t>
  </si>
  <si>
    <t>PO10465</t>
  </si>
  <si>
    <t>PO10466</t>
  </si>
  <si>
    <t>PO10467</t>
  </si>
  <si>
    <t>PO10468</t>
  </si>
  <si>
    <t>PO10469</t>
  </si>
  <si>
    <t>PO10470</t>
  </si>
  <si>
    <t>PO10471</t>
  </si>
  <si>
    <t>PO10472</t>
  </si>
  <si>
    <t>PO10473</t>
  </si>
  <si>
    <t>PO10474</t>
  </si>
  <si>
    <t>PO10475</t>
  </si>
  <si>
    <t>PO10476</t>
  </si>
  <si>
    <t>PO10477</t>
  </si>
  <si>
    <t>PO10478</t>
  </si>
  <si>
    <t>PO10479</t>
  </si>
  <si>
    <t>PO10480</t>
  </si>
  <si>
    <t>PO10481</t>
  </si>
  <si>
    <t>PO10482</t>
  </si>
  <si>
    <t>PO10483</t>
  </si>
  <si>
    <t>PO10484</t>
  </si>
  <si>
    <t>PO10485</t>
  </si>
  <si>
    <t>PO10486</t>
  </si>
  <si>
    <t>PO10487</t>
  </si>
  <si>
    <t>PO10488</t>
  </si>
  <si>
    <t>PO10489</t>
  </si>
  <si>
    <t>PO10490</t>
  </si>
  <si>
    <t>PO10491</t>
  </si>
  <si>
    <t>PO10492</t>
  </si>
  <si>
    <t>PO10493</t>
  </si>
  <si>
    <t>PO10494</t>
  </si>
  <si>
    <t>PO10495</t>
  </si>
  <si>
    <t>PO10496</t>
  </si>
  <si>
    <t>PO10497</t>
  </si>
  <si>
    <t>PO10498</t>
  </si>
  <si>
    <t>PO10499</t>
  </si>
  <si>
    <t>PO10500</t>
  </si>
  <si>
    <t>PO10501</t>
  </si>
  <si>
    <t>PO10502</t>
  </si>
  <si>
    <t>PO10503</t>
  </si>
  <si>
    <t>PO10504</t>
  </si>
  <si>
    <t>PO10505</t>
  </si>
  <si>
    <t>PO10506</t>
  </si>
  <si>
    <t>PO10507</t>
  </si>
  <si>
    <t>PO10508</t>
  </si>
  <si>
    <t>PO10509</t>
  </si>
  <si>
    <t>PO10510</t>
  </si>
  <si>
    <t>PO10511</t>
  </si>
  <si>
    <t>PO10512</t>
  </si>
  <si>
    <t>PO10513</t>
  </si>
  <si>
    <t>PO10514</t>
  </si>
  <si>
    <t>PO10515</t>
  </si>
  <si>
    <t>PO10516</t>
  </si>
  <si>
    <t>PO10517</t>
  </si>
  <si>
    <t>PO10518</t>
  </si>
  <si>
    <t>PO10519</t>
  </si>
  <si>
    <t>PO10520</t>
  </si>
  <si>
    <t>PO10521</t>
  </si>
  <si>
    <t>PO10522</t>
  </si>
  <si>
    <t>PO10523</t>
  </si>
  <si>
    <t>PO10524</t>
  </si>
  <si>
    <t>PO10525</t>
  </si>
  <si>
    <t>PO10526</t>
  </si>
  <si>
    <t>PO10527</t>
  </si>
  <si>
    <t>PO10528</t>
  </si>
  <si>
    <t>PO10529</t>
  </si>
  <si>
    <t>PO10530</t>
  </si>
  <si>
    <t>PO10531</t>
  </si>
  <si>
    <t>PO10532</t>
  </si>
  <si>
    <t>PO10533</t>
  </si>
  <si>
    <t>PO10534</t>
  </si>
  <si>
    <t>PO10535</t>
  </si>
  <si>
    <t>PO10536</t>
  </si>
  <si>
    <t>PO10537</t>
  </si>
  <si>
    <t>PO10538</t>
  </si>
  <si>
    <t>PO10539</t>
  </si>
  <si>
    <t>PO10540</t>
  </si>
  <si>
    <t>PO10541</t>
  </si>
  <si>
    <t>PO10542</t>
  </si>
  <si>
    <t>PO10543</t>
  </si>
  <si>
    <t>PO10544</t>
  </si>
  <si>
    <t>PO10545</t>
  </si>
  <si>
    <t>PO10546</t>
  </si>
  <si>
    <t>PO10547</t>
  </si>
  <si>
    <t>PO10548</t>
  </si>
  <si>
    <t>PO10549</t>
  </si>
  <si>
    <t>PO10550</t>
  </si>
  <si>
    <t>PO10551</t>
  </si>
  <si>
    <t>PO10552</t>
  </si>
  <si>
    <t>PO10553</t>
  </si>
  <si>
    <t>PO10554</t>
  </si>
  <si>
    <t>PO10555</t>
  </si>
  <si>
    <t>PO10556</t>
  </si>
  <si>
    <t>PO10557</t>
  </si>
  <si>
    <t>PO10558</t>
  </si>
  <si>
    <t>PO10559</t>
  </si>
  <si>
    <t>PO10560</t>
  </si>
  <si>
    <t>PO10561</t>
  </si>
  <si>
    <t>PO10562</t>
  </si>
  <si>
    <t>PO10563</t>
  </si>
  <si>
    <t>PO10564</t>
  </si>
  <si>
    <t>PO10565</t>
  </si>
  <si>
    <t>PO10566</t>
  </si>
  <si>
    <t>PO10567</t>
  </si>
  <si>
    <t>PO10568</t>
  </si>
  <si>
    <t>PO10569</t>
  </si>
  <si>
    <t>PO10570</t>
  </si>
  <si>
    <t>PO10571</t>
  </si>
  <si>
    <t>PO10572</t>
  </si>
  <si>
    <t>PO10573</t>
  </si>
  <si>
    <t>PO10574</t>
  </si>
  <si>
    <t>PO10575</t>
  </si>
  <si>
    <t>PO10576</t>
  </si>
  <si>
    <t>PO10577</t>
  </si>
  <si>
    <t>PO10578</t>
  </si>
  <si>
    <t>PO10579</t>
  </si>
  <si>
    <t>PO10580</t>
  </si>
  <si>
    <t>PO10581</t>
  </si>
  <si>
    <t>PO10582</t>
  </si>
  <si>
    <t>PO10583</t>
  </si>
  <si>
    <t>PO10584</t>
  </si>
  <si>
    <t>PO10585</t>
  </si>
  <si>
    <t>PO10586</t>
  </si>
  <si>
    <t>PO10587</t>
  </si>
  <si>
    <t>PO10588</t>
  </si>
  <si>
    <t>PO10589</t>
  </si>
  <si>
    <t>PO10590</t>
  </si>
  <si>
    <t>PO10591</t>
  </si>
  <si>
    <t>PO10592</t>
  </si>
  <si>
    <t>PO10593</t>
  </si>
  <si>
    <t>PO10594</t>
  </si>
  <si>
    <t>PO10595</t>
  </si>
  <si>
    <t>PO10596</t>
  </si>
  <si>
    <t>PO10597</t>
  </si>
  <si>
    <t>PO10598</t>
  </si>
  <si>
    <t>PO10599</t>
  </si>
  <si>
    <t>PO10600</t>
  </si>
  <si>
    <t>Spend (USD)</t>
  </si>
  <si>
    <t>Unit Cost (USD)</t>
  </si>
  <si>
    <t>PO No</t>
  </si>
  <si>
    <t>PO Date</t>
  </si>
  <si>
    <t>Lead Days</t>
  </si>
  <si>
    <t>On-Time %</t>
  </si>
  <si>
    <t>Phase -1</t>
  </si>
  <si>
    <t>Data Quality Assessment Report</t>
  </si>
  <si>
    <t>Total records:</t>
  </si>
  <si>
    <t>Total columns:</t>
  </si>
  <si>
    <t>Blank cells found:</t>
  </si>
  <si>
    <t>Duplicate records found:</t>
  </si>
  <si>
    <t>Formatting issues:</t>
  </si>
  <si>
    <t>Other observations:</t>
  </si>
  <si>
    <t>Recommendation before analysis:</t>
  </si>
  <si>
    <t>Not observed</t>
  </si>
  <si>
    <t>Client Project 002 – Procurement Spend &amp; Supplier Performance Analysis</t>
  </si>
  <si>
    <r>
      <t xml:space="preserve">In the above raw data set received from the client; </t>
    </r>
    <r>
      <rPr>
        <b/>
        <sz val="12"/>
        <color theme="1"/>
        <rFont val="Calibri"/>
        <family val="2"/>
        <scheme val="minor"/>
      </rPr>
      <t>Global Manufacturing Solutions (GMS) Ltd.</t>
    </r>
    <r>
      <rPr>
        <sz val="12"/>
        <color theme="1"/>
        <rFont val="Calibri"/>
        <family val="2"/>
        <scheme val="minor"/>
      </rPr>
      <t>, obvious inconsistencies were not observed except 01 duplicate record and 01 blank cell as highlighted in the table. Data types are appropriate (dates, numbers and texts).  Recommend to commence data analysis after carrying out necessary data cleaning and validation.</t>
    </r>
  </si>
  <si>
    <t>Phase -2</t>
  </si>
  <si>
    <t>Data Cleaning &amp; Validation</t>
  </si>
  <si>
    <t>Data Quality Assessment</t>
  </si>
  <si>
    <t>Department not found</t>
  </si>
  <si>
    <t>Dashboard KPIs</t>
  </si>
  <si>
    <t>Action Taken  :  Data Cleaning &amp; Validation</t>
  </si>
  <si>
    <t>Potential Business Impact :</t>
  </si>
  <si>
    <r>
      <t xml:space="preserve">1.  Converted the data table to </t>
    </r>
    <r>
      <rPr>
        <b/>
        <sz val="12"/>
        <color theme="1"/>
        <rFont val="Calibri"/>
        <family val="2"/>
        <scheme val="minor"/>
      </rPr>
      <t>"Excel Table"</t>
    </r>
    <r>
      <rPr>
        <sz val="12"/>
        <color theme="1"/>
        <rFont val="Calibri"/>
        <family val="2"/>
        <scheme val="minor"/>
      </rPr>
      <t xml:space="preserve"> to provide it a professional and better outlook with added features                    that support data analysis. </t>
    </r>
  </si>
  <si>
    <r>
      <t xml:space="preserve">2. </t>
    </r>
    <r>
      <rPr>
        <b/>
        <sz val="12"/>
        <color theme="1"/>
        <rFont val="Calibri"/>
        <family val="2"/>
        <scheme val="minor"/>
      </rPr>
      <t xml:space="preserve"> Deleted the duplicate record</t>
    </r>
    <r>
      <rPr>
        <sz val="12"/>
        <color theme="1"/>
        <rFont val="Calibri"/>
        <family val="2"/>
        <scheme val="minor"/>
      </rPr>
      <t xml:space="preserve"> of PO No. PO10001 after careful verification following relevant sorting.</t>
    </r>
  </si>
  <si>
    <r>
      <t xml:space="preserve">3.  </t>
    </r>
    <r>
      <rPr>
        <b/>
        <sz val="12"/>
        <color theme="1"/>
        <rFont val="Calibri"/>
        <family val="2"/>
        <scheme val="minor"/>
      </rPr>
      <t>Blank cell</t>
    </r>
    <r>
      <rPr>
        <sz val="12"/>
        <color theme="1"/>
        <rFont val="Calibri"/>
        <family val="2"/>
        <scheme val="minor"/>
      </rPr>
      <t xml:space="preserve"> under "Department" column for PO No. PO10019 was entered as </t>
    </r>
    <r>
      <rPr>
        <b/>
        <sz val="12"/>
        <color theme="1"/>
        <rFont val="Calibri"/>
        <family val="2"/>
        <scheme val="minor"/>
      </rPr>
      <t>"Deparment Not Found"</t>
    </r>
    <r>
      <rPr>
        <sz val="12"/>
        <color theme="1"/>
        <rFont val="Calibri"/>
        <family val="2"/>
        <scheme val="minor"/>
      </rPr>
      <t>.</t>
    </r>
  </si>
  <si>
    <r>
      <t xml:space="preserve">4.  </t>
    </r>
    <r>
      <rPr>
        <b/>
        <sz val="12"/>
        <color theme="1"/>
        <rFont val="Calibri"/>
        <family val="2"/>
        <scheme val="minor"/>
      </rPr>
      <t>No critical data quality issues remain that would materially affect the planned analysis to proceed.</t>
    </r>
  </si>
  <si>
    <r>
      <t xml:space="preserve">1. </t>
    </r>
    <r>
      <rPr>
        <b/>
        <i/>
        <sz val="11.5"/>
        <color theme="1"/>
        <rFont val="Calibri"/>
        <family val="2"/>
        <scheme val="minor"/>
      </rPr>
      <t>Duplicate</t>
    </r>
    <r>
      <rPr>
        <i/>
        <sz val="11.5"/>
        <color theme="1"/>
        <rFont val="Calibri"/>
        <family val="2"/>
        <scheme val="minor"/>
      </rPr>
      <t xml:space="preserve"> Purchase Orders could overstate procurement spend if not removed.</t>
    </r>
  </si>
  <si>
    <r>
      <t>2.</t>
    </r>
    <r>
      <rPr>
        <b/>
        <i/>
        <sz val="11.5"/>
        <color theme="1"/>
        <rFont val="Calibri"/>
        <family val="2"/>
        <scheme val="minor"/>
      </rPr>
      <t xml:space="preserve"> Missing</t>
    </r>
    <r>
      <rPr>
        <i/>
        <sz val="11.5"/>
        <color theme="1"/>
        <rFont val="Calibri"/>
        <family val="2"/>
        <scheme val="minor"/>
      </rPr>
      <t xml:space="preserve"> department information may affect departmental spend analysis.</t>
    </r>
  </si>
  <si>
    <r>
      <t xml:space="preserve">3. </t>
    </r>
    <r>
      <rPr>
        <b/>
        <i/>
        <sz val="11.5"/>
        <color theme="1"/>
        <rFont val="Calibri"/>
        <family val="2"/>
        <scheme val="minor"/>
      </rPr>
      <t>Inconsistent</t>
    </r>
    <r>
      <rPr>
        <i/>
        <sz val="11.5"/>
        <color theme="1"/>
        <rFont val="Calibri"/>
        <family val="2"/>
        <scheme val="minor"/>
      </rPr>
      <t xml:space="preserve"> information could lead to inaccurate performance reports.</t>
    </r>
  </si>
  <si>
    <t>Total Spend (USD)</t>
  </si>
  <si>
    <t>Average Spend (USD)</t>
  </si>
  <si>
    <t>Total No. of Records /POs</t>
  </si>
  <si>
    <t>Total No. of Columns</t>
  </si>
  <si>
    <t>Row Labels</t>
  </si>
  <si>
    <t>Grand Total</t>
  </si>
  <si>
    <t>Sum of Spend (USD)</t>
  </si>
  <si>
    <t>Count of Status</t>
  </si>
  <si>
    <t>Graphical Presentation of Analysis</t>
  </si>
  <si>
    <t>Executive Dashboard</t>
  </si>
  <si>
    <t>Phase -3</t>
  </si>
  <si>
    <t>Phase -4</t>
  </si>
  <si>
    <t>Average of On-Time %</t>
  </si>
  <si>
    <t>Average of Quality</t>
  </si>
  <si>
    <t>Average of Lead Days</t>
  </si>
  <si>
    <r>
      <t xml:space="preserve">No. of </t>
    </r>
    <r>
      <rPr>
        <b/>
        <sz val="16"/>
        <color theme="1"/>
        <rFont val="Calibri"/>
        <family val="2"/>
        <scheme val="minor"/>
      </rPr>
      <t>Pending</t>
    </r>
    <r>
      <rPr>
        <sz val="16"/>
        <color theme="1"/>
        <rFont val="Calibri"/>
        <family val="2"/>
        <scheme val="minor"/>
      </rPr>
      <t xml:space="preserve"> Purchase Orders</t>
    </r>
  </si>
  <si>
    <r>
      <t xml:space="preserve">No. of </t>
    </r>
    <r>
      <rPr>
        <b/>
        <sz val="16"/>
        <color theme="1"/>
        <rFont val="Calibri"/>
        <family val="2"/>
        <scheme val="minor"/>
      </rPr>
      <t>Completed</t>
    </r>
    <r>
      <rPr>
        <sz val="16"/>
        <color theme="1"/>
        <rFont val="Calibri"/>
        <family val="2"/>
        <scheme val="minor"/>
      </rPr>
      <t xml:space="preserve"> Purachase Orders</t>
    </r>
  </si>
  <si>
    <r>
      <t xml:space="preserve">No. of </t>
    </r>
    <r>
      <rPr>
        <b/>
        <sz val="16"/>
        <color theme="1"/>
        <rFont val="Calibri"/>
        <family val="2"/>
        <scheme val="minor"/>
      </rPr>
      <t>Cancelled</t>
    </r>
    <r>
      <rPr>
        <sz val="16"/>
        <color theme="1"/>
        <rFont val="Calibri"/>
        <family val="2"/>
        <scheme val="minor"/>
      </rPr>
      <t xml:space="preserve"> Purchase Orders</t>
    </r>
  </si>
  <si>
    <r>
      <t xml:space="preserve">USD 487,595  (23.18%)  ---&gt;  </t>
    </r>
    <r>
      <rPr>
        <b/>
        <sz val="16"/>
        <color rgb="FF0000FF"/>
        <rFont val="Calibri"/>
        <family val="2"/>
        <scheme val="minor"/>
      </rPr>
      <t xml:space="preserve">Prime </t>
    </r>
  </si>
  <si>
    <r>
      <t xml:space="preserve">USD 511,305  (24%)  ---&gt;  </t>
    </r>
    <r>
      <rPr>
        <b/>
        <sz val="16"/>
        <color rgb="FF0000FF"/>
        <rFont val="Calibri"/>
        <family val="2"/>
        <scheme val="minor"/>
      </rPr>
      <t>Packaging</t>
    </r>
  </si>
  <si>
    <r>
      <t xml:space="preserve">USD 488,070  (23.20%) ---&gt;  </t>
    </r>
    <r>
      <rPr>
        <b/>
        <sz val="16"/>
        <color rgb="FF0000FF"/>
        <rFont val="Calibri"/>
        <family val="2"/>
        <scheme val="minor"/>
      </rPr>
      <t>Admin</t>
    </r>
  </si>
  <si>
    <r>
      <t xml:space="preserve">USD 576,855  (27%)  ---&gt;   </t>
    </r>
    <r>
      <rPr>
        <b/>
        <sz val="16"/>
        <color rgb="FF0000FF"/>
        <rFont val="Calibri"/>
        <family val="2"/>
        <scheme val="minor"/>
      </rPr>
      <t>Laptop</t>
    </r>
  </si>
  <si>
    <r>
      <t xml:space="preserve">Total Highest Spend by a </t>
    </r>
    <r>
      <rPr>
        <b/>
        <u/>
        <sz val="16"/>
        <color theme="1"/>
        <rFont val="Calibri"/>
        <family val="2"/>
        <scheme val="minor"/>
      </rPr>
      <t>Supplier</t>
    </r>
    <r>
      <rPr>
        <b/>
        <sz val="16"/>
        <color theme="1"/>
        <rFont val="Calibri"/>
        <family val="2"/>
        <scheme val="minor"/>
      </rPr>
      <t xml:space="preserve"> </t>
    </r>
  </si>
  <si>
    <r>
      <t xml:space="preserve">Highest Spend </t>
    </r>
    <r>
      <rPr>
        <b/>
        <u/>
        <sz val="16"/>
        <color theme="1"/>
        <rFont val="Calibri"/>
        <family val="2"/>
        <scheme val="minor"/>
      </rPr>
      <t>Category</t>
    </r>
  </si>
  <si>
    <r>
      <t xml:space="preserve">Highest Spend </t>
    </r>
    <r>
      <rPr>
        <b/>
        <u/>
        <sz val="16"/>
        <color theme="1"/>
        <rFont val="Calibri"/>
        <family val="2"/>
        <scheme val="minor"/>
      </rPr>
      <t>Department</t>
    </r>
  </si>
  <si>
    <r>
      <t xml:space="preserve">Highest Spend </t>
    </r>
    <r>
      <rPr>
        <b/>
        <u/>
        <sz val="16"/>
        <color theme="1"/>
        <rFont val="Calibri"/>
        <family val="2"/>
        <scheme val="minor"/>
      </rPr>
      <t>Item</t>
    </r>
  </si>
  <si>
    <r>
      <rPr>
        <b/>
        <u/>
        <sz val="16"/>
        <color theme="1"/>
        <rFont val="Calibri"/>
        <family val="2"/>
        <scheme val="minor"/>
      </rPr>
      <t>Best Supplier</t>
    </r>
    <r>
      <rPr>
        <b/>
        <sz val="16"/>
        <color theme="1"/>
        <rFont val="Calibri"/>
        <family val="2"/>
        <scheme val="minor"/>
      </rPr>
      <t xml:space="preserve"> - Average of On-time (%)</t>
    </r>
  </si>
  <si>
    <r>
      <rPr>
        <b/>
        <u/>
        <sz val="16"/>
        <color theme="1"/>
        <rFont val="Calibri"/>
        <family val="2"/>
        <scheme val="minor"/>
      </rPr>
      <t>Best Supplier</t>
    </r>
    <r>
      <rPr>
        <b/>
        <sz val="16"/>
        <color theme="1"/>
        <rFont val="Calibri"/>
        <family val="2"/>
        <scheme val="minor"/>
      </rPr>
      <t xml:space="preserve"> - Average of Quality</t>
    </r>
  </si>
  <si>
    <r>
      <rPr>
        <b/>
        <u/>
        <sz val="16"/>
        <color theme="1"/>
        <rFont val="Calibri"/>
        <family val="2"/>
        <scheme val="minor"/>
      </rPr>
      <t>Best Supplier</t>
    </r>
    <r>
      <rPr>
        <b/>
        <sz val="16"/>
        <color theme="1"/>
        <rFont val="Calibri"/>
        <family val="2"/>
        <scheme val="minor"/>
      </rPr>
      <t xml:space="preserve"> - Average of Lead Days</t>
    </r>
  </si>
  <si>
    <r>
      <rPr>
        <b/>
        <sz val="16"/>
        <color rgb="FF0000FF"/>
        <rFont val="Calibri"/>
        <family val="2"/>
        <scheme val="minor"/>
      </rPr>
      <t>Prime</t>
    </r>
    <r>
      <rPr>
        <b/>
        <sz val="16"/>
        <color theme="1"/>
        <rFont val="Calibri"/>
        <family val="2"/>
        <scheme val="minor"/>
      </rPr>
      <t xml:space="preserve">  (85.757%)</t>
    </r>
  </si>
  <si>
    <r>
      <rPr>
        <b/>
        <sz val="16"/>
        <color rgb="FF0000FF"/>
        <rFont val="Calibri"/>
        <family val="2"/>
        <scheme val="minor"/>
      </rPr>
      <t>Omega</t>
    </r>
    <r>
      <rPr>
        <b/>
        <sz val="16"/>
        <color theme="1"/>
        <rFont val="Calibri"/>
        <family val="2"/>
        <scheme val="minor"/>
      </rPr>
      <t xml:space="preserve">  (3.613)</t>
    </r>
  </si>
  <si>
    <r>
      <rPr>
        <b/>
        <sz val="16"/>
        <color rgb="FF0000FF"/>
        <rFont val="Calibri"/>
        <family val="2"/>
        <scheme val="minor"/>
      </rPr>
      <t>Delta</t>
    </r>
    <r>
      <rPr>
        <b/>
        <sz val="16"/>
        <color theme="1"/>
        <rFont val="Calibri"/>
        <family val="2"/>
        <scheme val="minor"/>
      </rPr>
      <t xml:space="preserve">  (10.081)</t>
    </r>
  </si>
  <si>
    <r>
      <t xml:space="preserve">Average of </t>
    </r>
    <r>
      <rPr>
        <b/>
        <u/>
        <sz val="16"/>
        <color theme="1"/>
        <rFont val="Calibri"/>
        <family val="2"/>
        <scheme val="minor"/>
      </rPr>
      <t>On-time</t>
    </r>
    <r>
      <rPr>
        <b/>
        <sz val="16"/>
        <color theme="1"/>
        <rFont val="Calibri"/>
        <family val="2"/>
        <scheme val="minor"/>
      </rPr>
      <t xml:space="preserve"> (%)</t>
    </r>
  </si>
  <si>
    <r>
      <t xml:space="preserve">Average of </t>
    </r>
    <r>
      <rPr>
        <b/>
        <u/>
        <sz val="16"/>
        <color theme="1"/>
        <rFont val="Calibri"/>
        <family val="2"/>
        <scheme val="minor"/>
      </rPr>
      <t>Quality</t>
    </r>
    <r>
      <rPr>
        <b/>
        <sz val="16"/>
        <color theme="1"/>
        <rFont val="Calibri"/>
        <family val="2"/>
        <scheme val="minor"/>
      </rPr>
      <t xml:space="preserve">  (Rate : 1 - 5)</t>
    </r>
  </si>
  <si>
    <t>Phase -5</t>
  </si>
  <si>
    <r>
      <t xml:space="preserve">Average of </t>
    </r>
    <r>
      <rPr>
        <b/>
        <u/>
        <sz val="16"/>
        <color theme="1"/>
        <rFont val="Calibri"/>
        <family val="2"/>
        <scheme val="minor"/>
      </rPr>
      <t>Lead Days</t>
    </r>
    <r>
      <rPr>
        <b/>
        <sz val="16"/>
        <color theme="1"/>
        <rFont val="Calibri"/>
        <family val="2"/>
        <scheme val="minor"/>
      </rPr>
      <t xml:space="preserve">  (Lead Time)</t>
    </r>
  </si>
  <si>
    <t>Observations /Analysis (Supplier vs Spend)</t>
  </si>
  <si>
    <t>Suppliers accountable for Highest Spend (1 - 3) are Prime 23%), Alpha (21%) and Omega (18%) respectively.</t>
  </si>
  <si>
    <t>Suppliers accountable for Medium / Low Spend are Gama (14%), Beta (13%) and Delta (11%) respectively.</t>
  </si>
  <si>
    <t>Categories accountable for Highest Spend (1 - 3) are Packaging (24%), IT (22%) and MRO (20%) respectively.</t>
  </si>
  <si>
    <t>Categories accountable for Medium / Low Spend are Logistics (17%) and Raw Materials (17%) respectively.</t>
  </si>
  <si>
    <t>Observations /Analysis (Category vs Spend)</t>
  </si>
  <si>
    <t>Observations /Analysis (Department vs Spend)</t>
  </si>
  <si>
    <t>Departments accountable for Highest Spend (1 - 3) are Admin (23%), Production (23%) and IT (20%) respectively.</t>
  </si>
  <si>
    <t>Departments accountable for Medium / Low Spend are Maintenance (19%) and Warehouse (15%) respectively.</t>
  </si>
  <si>
    <t>Observations /Analysis (Item vs Spend)</t>
  </si>
  <si>
    <t>Items accountable for Highest Spend (1 - 2) are Laptop 27%) and Bearings (21%) respectively.</t>
  </si>
  <si>
    <t>Items accountable for Medium / Low Spend are Boxes (19%), Freight  (17%) and Steel  (16%) respectively.</t>
  </si>
  <si>
    <t>Observations /Analysis (PO Status Analysis)</t>
  </si>
  <si>
    <r>
      <t xml:space="preserve">Out of the total of 600 Purchase Orders, </t>
    </r>
    <r>
      <rPr>
        <b/>
        <sz val="11"/>
        <color theme="1"/>
        <rFont val="Calibri"/>
        <family val="2"/>
        <scheme val="minor"/>
      </rPr>
      <t>16% of POs are Pending</t>
    </r>
    <r>
      <rPr>
        <sz val="11"/>
        <color theme="1"/>
        <rFont val="Calibri"/>
        <family val="2"/>
        <scheme val="minor"/>
      </rPr>
      <t xml:space="preserve"> and 80% of POs are Completed; while 4% are Cancelled.</t>
    </r>
  </si>
  <si>
    <t>Observations /Analysis (Supplier vs Average of On-time)</t>
  </si>
  <si>
    <t>As per the analysis, all 06 Suppliers are performing between the range of 84.0% - 85.7%.</t>
  </si>
  <si>
    <t>Prime (85.7), Delta (85.12) and Alpha (84.93) are leading with the highest values respectively.</t>
  </si>
  <si>
    <t>Omega (84.5), Beta (84.4) and Gamma (84.03) are performing moderately.</t>
  </si>
  <si>
    <t>Observations /Analysis (Supplier vs Average of Quality)</t>
  </si>
  <si>
    <t>Supplier Omega (3.61), Beta (3.57) and Gamma (3.51) are the leading performers.</t>
  </si>
  <si>
    <t>Delta (3.45), Alpha (3.40) and Prime (3.33) are performing moderately.</t>
  </si>
  <si>
    <t>Anslysis confirms that all 06 Suppliers are performing within an average range between 3.33 - 3.61 for Quality (Ranging from 1 - 5).</t>
  </si>
  <si>
    <t>Observations /Analysis (Supplier vs Average of Lead Days)</t>
  </si>
  <si>
    <t>As per the analysis Average of Lead time is ranging between 10.08  and 12.058 days for the 06 Suppliers.</t>
  </si>
  <si>
    <t>Best shortest Lead-times are indicated by Delta (10.081), Beta (10.26) and Alpha (10.84) respectively.</t>
  </si>
  <si>
    <t>Gamma (11.27), Omega (11.77) and Prime (12.058) are demonstrating high lead times respectively.</t>
  </si>
  <si>
    <t>Spend (%)</t>
  </si>
  <si>
    <t>On-time (%)</t>
  </si>
  <si>
    <t>Quality  (1 - 5)</t>
  </si>
  <si>
    <t>Lead-time (Days)</t>
  </si>
  <si>
    <t>Supplier / Performance (Average)</t>
  </si>
  <si>
    <t>Pending POs</t>
  </si>
  <si>
    <t>Cancelled POs</t>
  </si>
  <si>
    <t>Completed POs</t>
  </si>
  <si>
    <t>Supplier /PO Status</t>
  </si>
  <si>
    <t>Total POs</t>
  </si>
  <si>
    <t>Pending POs vs Total Pos %</t>
  </si>
  <si>
    <t>Cancelled Pos vs Total Pos. %</t>
  </si>
  <si>
    <t>Supplier Performance Analysis in Brief</t>
  </si>
  <si>
    <t>Purchase Order Status Analysis in Brief</t>
  </si>
  <si>
    <t>No. of Pending POs</t>
  </si>
  <si>
    <t>No. of Cancelled POs</t>
  </si>
  <si>
    <t>No. of Completed POs</t>
  </si>
  <si>
    <t>Total No. of POs</t>
  </si>
  <si>
    <t>Pending POs vs Total POs %</t>
  </si>
  <si>
    <t>Cancelled Pos vs Total POs. %</t>
  </si>
  <si>
    <t>Completed Pos vs Total POs. %</t>
  </si>
  <si>
    <t>MANAGEMENT REPORT / PROFESSIONAL SUMMARY</t>
  </si>
  <si>
    <r>
      <t xml:space="preserve">Considering the above overall analysis the following could be </t>
    </r>
    <r>
      <rPr>
        <b/>
        <sz val="12"/>
        <color theme="1"/>
        <rFont val="Calibri"/>
        <family val="2"/>
        <scheme val="minor"/>
      </rPr>
      <t>Recommended</t>
    </r>
    <r>
      <rPr>
        <sz val="12"/>
        <color theme="1"/>
        <rFont val="Calibri"/>
        <family val="2"/>
        <scheme val="minor"/>
      </rPr>
      <t xml:space="preserve"> :</t>
    </r>
  </si>
  <si>
    <r>
      <rPr>
        <b/>
        <sz val="12"/>
        <color theme="1"/>
        <rFont val="Calibri"/>
        <family val="2"/>
        <scheme val="minor"/>
      </rPr>
      <t>(1)</t>
    </r>
    <r>
      <rPr>
        <sz val="12"/>
        <color theme="1"/>
        <rFont val="Calibri"/>
        <family val="2"/>
        <scheme val="minor"/>
      </rPr>
      <t xml:space="preserve">. Suggest to re-negotiate prices for the new contracts with the main High Spend Suppliers (ie. Prime, Alpha and Omega) to gain value of price reductions.  </t>
    </r>
    <r>
      <rPr>
        <b/>
        <sz val="12"/>
        <color theme="1"/>
        <rFont val="Calibri"/>
        <family val="2"/>
        <scheme val="minor"/>
      </rPr>
      <t>(2)</t>
    </r>
    <r>
      <rPr>
        <sz val="12"/>
        <color theme="1"/>
        <rFont val="Calibri"/>
        <family val="2"/>
        <scheme val="minor"/>
      </rPr>
      <t xml:space="preserve">. Suggest to discuss with Supplier Prime who is accountable for the highest spend and best on-time delivery; regarding their lowest Quality rating and the highest Lead-time to identify the causes for improvement.  </t>
    </r>
    <r>
      <rPr>
        <b/>
        <sz val="12"/>
        <color theme="1"/>
        <rFont val="Calibri"/>
        <family val="2"/>
        <scheme val="minor"/>
      </rPr>
      <t>(3)</t>
    </r>
    <r>
      <rPr>
        <sz val="12"/>
        <color theme="1"/>
        <rFont val="Calibri"/>
        <family val="2"/>
        <scheme val="minor"/>
      </rPr>
      <t xml:space="preserve">.  Need to look into possibilities for developing more collaboration with Suppliers Alpha and Omega for more business as their performance levels in terms of Quality and Lead Time are comparatively much better than the highest spend Supplier; Prime , with moderate On-time. Further, need to communicate with Alpha and Omega to  identify their related issues and to address them through mutual co-operation.  </t>
    </r>
    <r>
      <rPr>
        <b/>
        <sz val="12"/>
        <color theme="1"/>
        <rFont val="Calibri"/>
        <family val="2"/>
        <scheme val="minor"/>
      </rPr>
      <t>(4)</t>
    </r>
    <r>
      <rPr>
        <sz val="12"/>
        <color theme="1"/>
        <rFont val="Calibri"/>
        <family val="2"/>
        <scheme val="minor"/>
      </rPr>
      <t xml:space="preserve">.  Need to have dialog with Delta and Beta who are accountable for the most low spends, but are performing comperatively better in terms of On-time, Quality and Lead-time; in view of developing more business co-operation with them. Suggest to identify how Delta and Beta could improve in their respective minor-lagging areas, with any possibel support to them. Further, need to assess the reasons for Delta and Beta not being able to win much business opportunities as demonstrated in the Spend distribution.  </t>
    </r>
    <r>
      <rPr>
        <b/>
        <sz val="12"/>
        <color theme="1"/>
        <rFont val="Calibri"/>
        <family val="2"/>
        <scheme val="minor"/>
      </rPr>
      <t>(5)</t>
    </r>
    <r>
      <rPr>
        <sz val="12"/>
        <color theme="1"/>
        <rFont val="Calibri"/>
        <family val="2"/>
        <scheme val="minor"/>
      </rPr>
      <t xml:space="preserve">. It is important to have communication with Gamma regarding their lowest performance demonstrated in On-time, followed by moderately lower Quality, Lead time and Spend.  </t>
    </r>
    <r>
      <rPr>
        <b/>
        <sz val="12"/>
        <color theme="1"/>
        <rFont val="Calibri"/>
        <family val="2"/>
        <scheme val="minor"/>
      </rPr>
      <t>(6)</t>
    </r>
    <r>
      <rPr>
        <sz val="12"/>
        <color theme="1"/>
        <rFont val="Calibri"/>
        <family val="2"/>
        <scheme val="minor"/>
      </rPr>
      <t xml:space="preserve">. Suggest to monitor above highlighted performance deficiencies of the Suppliers with careful forcus on their visible action for improvements. Need to pay special attention to monitor such improvements when awarding new business to them. From the point of mitigating Supply Chain Risks, it is advisable to develop business collaborations with few other potential Suppliers as well as recommended; than depending on one or two main Suppliers. Further, if such improvements are not visible, need to consider collaborating with alternative Suppliers.  </t>
    </r>
    <r>
      <rPr>
        <b/>
        <sz val="12"/>
        <color theme="1"/>
        <rFont val="Calibri"/>
        <family val="2"/>
        <scheme val="minor"/>
      </rPr>
      <t xml:space="preserve"> (7)</t>
    </r>
    <r>
      <rPr>
        <sz val="12"/>
        <color theme="1"/>
        <rFont val="Calibri"/>
        <family val="2"/>
        <scheme val="minor"/>
      </rPr>
      <t xml:space="preserve">.  It is very important to address the deficiacies visible through this analysis and implement the recommendations as they would enhance overall value on company business operations by mitigating supply chain risks and ultimate customer satisfaction through timeliness and quality expectations.   </t>
    </r>
    <r>
      <rPr>
        <b/>
        <sz val="12"/>
        <color theme="1"/>
        <rFont val="Calibri"/>
        <family val="2"/>
        <scheme val="minor"/>
      </rPr>
      <t>(8).</t>
    </r>
    <r>
      <rPr>
        <sz val="12"/>
        <color theme="1"/>
        <rFont val="Calibri"/>
        <family val="2"/>
        <scheme val="minor"/>
      </rPr>
      <t xml:space="preserve">  Further, those improvements will contribute to minimize negative situations as demonstrated in the above "Purchase Order Status Analysis" which would have resulted by the same Supplier deficiencies discussed. </t>
    </r>
    <r>
      <rPr>
        <b/>
        <sz val="12"/>
        <color theme="1"/>
        <rFont val="Calibri"/>
        <family val="2"/>
        <scheme val="minor"/>
      </rPr>
      <t xml:space="preserve"> (9).</t>
    </r>
    <r>
      <rPr>
        <sz val="12"/>
        <color theme="1"/>
        <rFont val="Calibri"/>
        <family val="2"/>
        <scheme val="minor"/>
      </rPr>
      <t xml:space="preserve"> Further, recommend to evaluate High-Spend Categories, Items and Departments to identify possibilities to minimize non-core /non value generating purchases to reduce costs and to align with the Budget allocations.</t>
    </r>
  </si>
  <si>
    <t>Professional Data Analytics Portfolio</t>
  </si>
  <si>
    <t>Project 002 - Procurement Performance Dashboard &amp; Supplier Spend Analysis</t>
  </si>
  <si>
    <t>Business Scenario</t>
  </si>
  <si>
    <t>A fictional organisation requested a comprehensive procurement analysis to evaluate supplier performance, purchasing patterns, procurement efficiency, purchase order status, lead times, and quality performance. The objective was to identify opportunities to improve procurement effectiveness and support management decision-making through data-driven insights.</t>
  </si>
  <si>
    <t>Project Objectives</t>
  </si>
  <si>
    <t>Assess procurement data quality.</t>
  </si>
  <si>
    <t>Clean and validate procurement records.</t>
  </si>
  <si>
    <t>Analyse supplier spending.</t>
  </si>
  <si>
    <t>Evaluate departmental purchasing.</t>
  </si>
  <si>
    <t>Review procurement categories.</t>
  </si>
  <si>
    <t>Assess purchase order status.</t>
  </si>
  <si>
    <t>Analyse delivery performance.</t>
  </si>
  <si>
    <t>Evaluate supplier quality.</t>
  </si>
  <si>
    <t>Develop management dashboards.</t>
  </si>
  <si>
    <t>Provide business recommendations.</t>
  </si>
  <si>
    <t>Tools Used</t>
  </si>
  <si>
    <t>Microsoft Excel</t>
  </si>
  <si>
    <t>Pivot Tables</t>
  </si>
  <si>
    <t>Pivot Charts</t>
  </si>
  <si>
    <t>Dashboard Design</t>
  </si>
  <si>
    <t>Conditional Formatting</t>
  </si>
  <si>
    <t>Procurement KPI Analysis</t>
  </si>
  <si>
    <t>Executive Reporting</t>
  </si>
  <si>
    <t>Business Questions Answered</t>
  </si>
  <si>
    <t>Which suppliers receive the highest procurement spend?</t>
  </si>
  <si>
    <t>Which departments account for the greatest purchasing activity?</t>
  </si>
  <si>
    <t>Which categories represent the highest expenditure?</t>
  </si>
  <si>
    <t>Are purchase orders being completed efficiently?</t>
  </si>
  <si>
    <t>Are suppliers delivering on time?</t>
  </si>
  <si>
    <t>Which suppliers present quality concerns?</t>
  </si>
  <si>
    <t>Where can procurement processes be improved?</t>
  </si>
  <si>
    <t>Skills Demonstrated</t>
  </si>
  <si>
    <t>Procurement Analytics</t>
  </si>
  <si>
    <t>Supplier Performance Analysis</t>
  </si>
  <si>
    <t>Spend Analysis</t>
  </si>
  <si>
    <t>KPI Development</t>
  </si>
  <si>
    <t>Data Cleaning</t>
  </si>
  <si>
    <t>Pivot Table Analysis</t>
  </si>
  <si>
    <t>Business Recommendations</t>
  </si>
  <si>
    <t>Business Outcome</t>
  </si>
  <si>
    <t>The completed analysis provided management with insights into procurement performance, supplier reliability, purchasing patterns, delivery performance, and quality indicators, supporting informed operational and strategic decision-making.</t>
  </si>
  <si>
    <t>What I Learned</t>
  </si>
  <si>
    <t>This project strengthened my ability to analyse procurement operations using Microsoft Excel by integrating multiple performance indicators into a structured management reporting framework. It enhanced my analytical thinking, dashboard development, and business reporting skills.</t>
  </si>
  <si>
    <t>The analysis helps answer questions such as:</t>
  </si>
  <si>
    <t>Key Performance Indicators Analysed</t>
  </si>
  <si>
    <t>Total Procurement Spend</t>
  </si>
  <si>
    <t>Supplier Spend Distribution</t>
  </si>
  <si>
    <t>Department Spend</t>
  </si>
  <si>
    <t>Category Spend</t>
  </si>
  <si>
    <t>Purchase Order Status</t>
  </si>
  <si>
    <t>On-Time Delivery Performance</t>
  </si>
  <si>
    <t>Supplier Quality Performance</t>
  </si>
  <si>
    <t>Average Lead Time</t>
  </si>
  <si>
    <t>Business Value Delivered</t>
  </si>
  <si>
    <t>This analysis provides management with visibility into procurement spending, supplier performance, purchase order efficiency, delivery reliability, and quality trends, enabling more informed operational and strategic procurement decisions.</t>
  </si>
  <si>
    <t>Portfolio Project Prepared by:</t>
  </si>
  <si>
    <t>Microsoft Excel Business Case Study</t>
  </si>
  <si>
    <t>Sanjeewani Pathinayake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</si>
</sst>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yyyy\-mm\-dd"/>
    <numFmt numFmtId="165" formatCode="_(* #,##0_);_(* \(#,##0\);_(* &quot;-&quot;??_);_(@_)"/>
  </numFmts>
  <fonts count="28"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12"/>
      <color rgb="FF0000FF"/>
      <name val="Calibri"/>
      <family val="2"/>
      <scheme val="minor"/>
    </font>
    <font>
      <sz val="12"/>
      <color theme="1"/>
      <name val="Calibri"/>
      <family val="2"/>
      <scheme val="minor"/>
    </font>
    <font>
      <b/>
      <sz val="8"/>
      <color theme="1"/>
      <name val="Calibri"/>
      <family val="2"/>
      <scheme val="minor"/>
    </font>
    <font>
      <b/>
      <sz val="16"/>
      <color theme="1"/>
      <name val="Calibri"/>
      <family val="2"/>
      <scheme val="minor"/>
    </font>
    <font>
      <b/>
      <i/>
      <sz val="14"/>
      <color theme="1"/>
      <name val="Calibri"/>
      <family val="2"/>
      <scheme val="minor"/>
    </font>
    <font>
      <i/>
      <sz val="11"/>
      <color theme="1"/>
      <name val="Calibri"/>
      <family val="2"/>
      <scheme val="minor"/>
    </font>
    <font>
      <i/>
      <sz val="11.5"/>
      <color theme="1"/>
      <name val="Calibri"/>
      <family val="2"/>
      <scheme val="minor"/>
    </font>
    <font>
      <b/>
      <i/>
      <sz val="11.5"/>
      <color theme="1"/>
      <name val="Calibri"/>
      <family val="2"/>
      <scheme val="minor"/>
    </font>
    <font>
      <b/>
      <u/>
      <sz val="16"/>
      <color theme="1"/>
      <name val="Calibri"/>
      <family val="2"/>
      <scheme val="minor"/>
    </font>
    <font>
      <b/>
      <sz val="16"/>
      <name val="Calibri"/>
      <family val="2"/>
      <scheme val="minor"/>
    </font>
    <font>
      <sz val="16"/>
      <color theme="1"/>
      <name val="Calibri"/>
      <family val="2"/>
      <scheme val="minor"/>
    </font>
    <font>
      <b/>
      <sz val="18"/>
      <color theme="1"/>
      <name val="Calibri"/>
      <family val="2"/>
      <scheme val="minor"/>
    </font>
    <font>
      <b/>
      <sz val="16"/>
      <color rgb="FF0000FF"/>
      <name val="Calibri"/>
      <family val="2"/>
      <scheme val="minor"/>
    </font>
    <font>
      <sz val="12"/>
      <name val="Calibri"/>
      <family val="2"/>
      <scheme val="minor"/>
    </font>
    <font>
      <b/>
      <sz val="12"/>
      <name val="Calibri"/>
      <family val="2"/>
      <scheme val="minor"/>
    </font>
    <font>
      <b/>
      <sz val="20"/>
      <color theme="1"/>
      <name val="Calibri"/>
      <family val="2"/>
      <scheme val="minor"/>
    </font>
    <font>
      <b/>
      <sz val="20"/>
      <color rgb="FF000099"/>
      <name val="Calibri"/>
      <family val="2"/>
      <scheme val="minor"/>
    </font>
    <font>
      <b/>
      <u/>
      <sz val="11"/>
      <color theme="1"/>
      <name val="Calibri"/>
      <family val="2"/>
      <scheme val="minor"/>
    </font>
    <font>
      <sz val="12"/>
      <color rgb="FFFF0000"/>
      <name val="Calibri"/>
      <family val="2"/>
      <scheme val="minor"/>
    </font>
    <font>
      <b/>
      <sz val="9"/>
      <color theme="1"/>
      <name val="Calibri"/>
      <family val="2"/>
      <scheme val="minor"/>
    </font>
    <font>
      <b/>
      <sz val="10"/>
      <color theme="1"/>
      <name val="Calibri"/>
      <family val="2"/>
      <scheme val="minor"/>
    </font>
    <font>
      <b/>
      <sz val="24"/>
      <color theme="1"/>
      <name val="Calibri"/>
      <family val="2"/>
      <scheme val="minor"/>
    </font>
    <font>
      <b/>
      <sz val="22"/>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FF99"/>
        <bgColor indexed="64"/>
      </patternFill>
    </fill>
    <fill>
      <patternFill patternType="solid">
        <fgColor rgb="FFFFC00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rgb="FF92D05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225">
    <xf numFmtId="0" fontId="0" fillId="0" borderId="0" xfId="0"/>
    <xf numFmtId="0" fontId="0" fillId="0" borderId="0" xfId="0" applyAlignment="1">
      <alignment wrapText="1"/>
    </xf>
    <xf numFmtId="0" fontId="0" fillId="0" borderId="1" xfId="0" applyBorder="1" applyAlignment="1">
      <alignment horizontal="center" vertical="center"/>
    </xf>
    <xf numFmtId="164" fontId="0" fillId="0" borderId="1" xfId="0" applyNumberFormat="1" applyBorder="1" applyAlignment="1">
      <alignment horizontal="center" vertical="center"/>
    </xf>
    <xf numFmtId="165" fontId="0" fillId="0" borderId="1" xfId="1" applyNumberFormat="1" applyFont="1" applyBorder="1" applyAlignment="1">
      <alignment horizontal="right" vertical="center"/>
    </xf>
    <xf numFmtId="165" fontId="0" fillId="0" borderId="0" xfId="1" applyNumberFormat="1" applyFont="1" applyAlignment="1">
      <alignment horizontal="right"/>
    </xf>
    <xf numFmtId="0" fontId="3" fillId="3" borderId="0" xfId="0" applyFont="1" applyFill="1"/>
    <xf numFmtId="0" fontId="4" fillId="4" borderId="5" xfId="0" applyFont="1" applyFill="1" applyBorder="1"/>
    <xf numFmtId="0" fontId="4" fillId="4" borderId="6" xfId="0" applyFont="1" applyFill="1" applyBorder="1"/>
    <xf numFmtId="0" fontId="4" fillId="4" borderId="8" xfId="0" applyFont="1" applyFill="1" applyBorder="1"/>
    <xf numFmtId="0" fontId="4" fillId="4" borderId="10" xfId="0" applyFont="1" applyFill="1" applyBorder="1"/>
    <xf numFmtId="0" fontId="6" fillId="0" borderId="0" xfId="0" applyFont="1"/>
    <xf numFmtId="0" fontId="0" fillId="2" borderId="3" xfId="0" applyFont="1" applyFill="1" applyBorder="1"/>
    <xf numFmtId="0" fontId="0" fillId="2" borderId="0" xfId="0" applyFont="1" applyFill="1" applyBorder="1"/>
    <xf numFmtId="0" fontId="0" fillId="2" borderId="5" xfId="0" applyFont="1" applyFill="1" applyBorder="1"/>
    <xf numFmtId="0" fontId="0" fillId="2" borderId="6" xfId="0" applyFont="1" applyFill="1" applyBorder="1"/>
    <xf numFmtId="0" fontId="0" fillId="0" borderId="9" xfId="0" applyBorder="1" applyAlignment="1">
      <alignment horizontal="center" vertical="center"/>
    </xf>
    <xf numFmtId="0" fontId="0" fillId="0" borderId="8" xfId="0" applyBorder="1" applyAlignment="1">
      <alignment horizontal="center" vertical="center"/>
    </xf>
    <xf numFmtId="0" fontId="2" fillId="0" borderId="7" xfId="0" applyFont="1" applyBorder="1" applyAlignment="1">
      <alignment horizontal="center" vertical="center" wrapText="1"/>
    </xf>
    <xf numFmtId="0" fontId="2" fillId="0" borderId="13" xfId="0" applyFont="1" applyBorder="1" applyAlignment="1">
      <alignment horizontal="center" vertical="center" wrapText="1"/>
    </xf>
    <xf numFmtId="165" fontId="2" fillId="0" borderId="13" xfId="1" applyNumberFormat="1" applyFont="1" applyBorder="1" applyAlignment="1">
      <alignment horizontal="center" vertical="center" wrapText="1"/>
    </xf>
    <xf numFmtId="0" fontId="2" fillId="0" borderId="5" xfId="0" applyFont="1" applyBorder="1" applyAlignment="1">
      <alignment horizontal="center" vertical="center" wrapText="1"/>
    </xf>
    <xf numFmtId="164" fontId="0" fillId="0" borderId="14" xfId="0" applyNumberFormat="1" applyBorder="1" applyAlignment="1">
      <alignment horizontal="center" vertical="center"/>
    </xf>
    <xf numFmtId="0" fontId="0" fillId="0" borderId="14" xfId="0" applyBorder="1" applyAlignment="1">
      <alignment horizontal="center" vertical="center"/>
    </xf>
    <xf numFmtId="165" fontId="0" fillId="0" borderId="14" xfId="1" applyNumberFormat="1" applyFont="1" applyBorder="1" applyAlignment="1">
      <alignment horizontal="right"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9" xfId="0" applyFill="1" applyBorder="1" applyAlignment="1">
      <alignment horizontal="center" vertical="center"/>
    </xf>
    <xf numFmtId="0" fontId="7" fillId="2" borderId="1" xfId="0" applyFont="1" applyFill="1" applyBorder="1" applyAlignment="1">
      <alignment horizontal="center" vertical="center" wrapText="1"/>
    </xf>
    <xf numFmtId="165" fontId="6" fillId="0" borderId="0" xfId="1" applyNumberFormat="1" applyFont="1" applyAlignment="1">
      <alignment horizontal="right"/>
    </xf>
    <xf numFmtId="0" fontId="0" fillId="2" borderId="4" xfId="0" applyFill="1" applyBorder="1"/>
    <xf numFmtId="0" fontId="0" fillId="2" borderId="12" xfId="0" applyFill="1" applyBorder="1"/>
    <xf numFmtId="0" fontId="0" fillId="2" borderId="7" xfId="0" applyFill="1" applyBorder="1"/>
    <xf numFmtId="0" fontId="9" fillId="2" borderId="2" xfId="0" applyFont="1" applyFill="1" applyBorder="1" applyAlignment="1">
      <alignment vertical="center"/>
    </xf>
    <xf numFmtId="0" fontId="10" fillId="2" borderId="11" xfId="0" applyFont="1" applyFill="1" applyBorder="1"/>
    <xf numFmtId="0" fontId="11" fillId="2" borderId="11" xfId="0" applyFont="1" applyFill="1" applyBorder="1" applyAlignment="1">
      <alignment horizontal="left" vertical="center" indent="1"/>
    </xf>
    <xf numFmtId="0" fontId="6" fillId="6" borderId="11" xfId="0" applyFont="1" applyFill="1" applyBorder="1"/>
    <xf numFmtId="0" fontId="6" fillId="6" borderId="0" xfId="0" applyFont="1" applyFill="1" applyBorder="1"/>
    <xf numFmtId="165" fontId="6" fillId="6" borderId="12" xfId="1" applyNumberFormat="1" applyFont="1" applyFill="1" applyBorder="1" applyAlignment="1">
      <alignment horizontal="right"/>
    </xf>
    <xf numFmtId="0" fontId="6" fillId="6" borderId="5" xfId="0" applyFont="1" applyFill="1" applyBorder="1"/>
    <xf numFmtId="0" fontId="6" fillId="6" borderId="6" xfId="0" applyFont="1" applyFill="1" applyBorder="1"/>
    <xf numFmtId="165" fontId="6" fillId="6" borderId="7" xfId="1" applyNumberFormat="1" applyFont="1" applyFill="1" applyBorder="1" applyAlignment="1">
      <alignment horizontal="right"/>
    </xf>
    <xf numFmtId="0" fontId="6" fillId="0" borderId="1" xfId="0" pivotButton="1" applyFont="1" applyBorder="1"/>
    <xf numFmtId="0" fontId="6" fillId="0" borderId="1" xfId="0" applyFont="1" applyBorder="1"/>
    <xf numFmtId="0" fontId="6" fillId="0" borderId="1" xfId="0" applyFont="1" applyBorder="1" applyAlignment="1">
      <alignment horizontal="left"/>
    </xf>
    <xf numFmtId="43" fontId="6" fillId="0" borderId="1" xfId="0" applyNumberFormat="1" applyFont="1" applyBorder="1"/>
    <xf numFmtId="165" fontId="6" fillId="0" borderId="1" xfId="0" applyNumberFormat="1" applyFont="1" applyBorder="1"/>
    <xf numFmtId="165" fontId="4" fillId="0" borderId="1" xfId="0" applyNumberFormat="1" applyFont="1" applyBorder="1"/>
    <xf numFmtId="0" fontId="6" fillId="0" borderId="1" xfId="0" pivotButton="1" applyFont="1" applyBorder="1" applyAlignment="1">
      <alignment horizontal="center"/>
    </xf>
    <xf numFmtId="0" fontId="6" fillId="0" borderId="1" xfId="0" applyFont="1" applyBorder="1" applyAlignment="1">
      <alignment horizontal="center"/>
    </xf>
    <xf numFmtId="43" fontId="4" fillId="0" borderId="1" xfId="0" applyNumberFormat="1" applyFont="1" applyBorder="1"/>
    <xf numFmtId="0" fontId="6" fillId="0" borderId="1" xfId="0" applyNumberFormat="1" applyFont="1" applyBorder="1"/>
    <xf numFmtId="0" fontId="2" fillId="0" borderId="0" xfId="0" applyFont="1"/>
    <xf numFmtId="0" fontId="4" fillId="0" borderId="1" xfId="0" applyNumberFormat="1" applyFont="1" applyBorder="1"/>
    <xf numFmtId="0" fontId="18" fillId="0" borderId="1" xfId="0" applyNumberFormat="1" applyFont="1" applyBorder="1"/>
    <xf numFmtId="0" fontId="19" fillId="0" borderId="1" xfId="0" applyNumberFormat="1" applyFont="1" applyBorder="1"/>
    <xf numFmtId="0" fontId="22" fillId="0" borderId="0" xfId="0" applyFont="1"/>
    <xf numFmtId="0" fontId="0" fillId="0" borderId="0" xfId="0" applyFont="1"/>
    <xf numFmtId="0" fontId="6" fillId="0" borderId="0" xfId="0" applyFont="1" applyAlignment="1">
      <alignment horizontal="left" vertical="center"/>
    </xf>
    <xf numFmtId="0" fontId="6" fillId="0" borderId="0" xfId="0" applyFont="1" applyBorder="1"/>
    <xf numFmtId="0" fontId="6" fillId="0" borderId="1" xfId="0" applyFont="1" applyBorder="1" applyAlignment="1">
      <alignment horizontal="center" vertical="center"/>
    </xf>
    <xf numFmtId="0" fontId="4" fillId="5"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0" borderId="0" xfId="0" applyFont="1" applyFill="1" applyBorder="1"/>
    <xf numFmtId="0" fontId="23" fillId="0" borderId="1" xfId="0" applyFont="1" applyBorder="1" applyAlignment="1">
      <alignment horizontal="center" vertical="center"/>
    </xf>
    <xf numFmtId="0" fontId="0" fillId="0" borderId="0" xfId="0" applyAlignment="1">
      <alignment vertical="center" wrapText="1"/>
    </xf>
    <xf numFmtId="0" fontId="0" fillId="0" borderId="1" xfId="0" applyBorder="1"/>
    <xf numFmtId="0" fontId="0" fillId="0" borderId="1" xfId="0" pivotButton="1" applyBorder="1"/>
    <xf numFmtId="0" fontId="0" fillId="0" borderId="1" xfId="0" applyBorder="1" applyAlignment="1">
      <alignment horizontal="left"/>
    </xf>
    <xf numFmtId="0" fontId="0" fillId="0" borderId="1" xfId="0" applyNumberFormat="1" applyBorder="1"/>
    <xf numFmtId="0" fontId="0" fillId="8" borderId="1" xfId="0" applyFill="1" applyBorder="1" applyAlignment="1">
      <alignment horizontal="left" indent="1"/>
    </xf>
    <xf numFmtId="0" fontId="0" fillId="8" borderId="1" xfId="0" applyNumberFormat="1" applyFill="1" applyBorder="1"/>
    <xf numFmtId="0" fontId="0" fillId="9" borderId="1" xfId="0" applyFill="1" applyBorder="1" applyAlignment="1">
      <alignment horizontal="left" indent="1"/>
    </xf>
    <xf numFmtId="0" fontId="0" fillId="9" borderId="1" xfId="0" applyNumberFormat="1" applyFill="1" applyBorder="1"/>
    <xf numFmtId="0" fontId="2" fillId="2" borderId="1" xfId="0" applyFont="1" applyFill="1" applyBorder="1" applyAlignment="1">
      <alignment horizontal="left" indent="1"/>
    </xf>
    <xf numFmtId="0" fontId="2" fillId="2" borderId="1" xfId="0" applyNumberFormat="1" applyFont="1" applyFill="1" applyBorder="1"/>
    <xf numFmtId="165" fontId="0" fillId="0" borderId="1" xfId="1" applyNumberFormat="1" applyFont="1" applyBorder="1" applyAlignment="1">
      <alignment horizontal="right"/>
    </xf>
    <xf numFmtId="0" fontId="2" fillId="0" borderId="1" xfId="0" applyFont="1" applyBorder="1" applyAlignment="1">
      <alignment horizontal="center" vertical="center"/>
    </xf>
    <xf numFmtId="0" fontId="0" fillId="5" borderId="1" xfId="0" applyFill="1" applyBorder="1" applyAlignment="1">
      <alignment horizontal="center" vertical="center"/>
    </xf>
    <xf numFmtId="0" fontId="2" fillId="0" borderId="1" xfId="0" applyFont="1" applyBorder="1"/>
    <xf numFmtId="2" fontId="2" fillId="0" borderId="1" xfId="0" applyNumberFormat="1" applyFont="1" applyBorder="1"/>
    <xf numFmtId="2" fontId="2" fillId="5" borderId="1" xfId="0" applyNumberFormat="1" applyFont="1" applyFill="1" applyBorder="1"/>
    <xf numFmtId="0" fontId="2" fillId="5" borderId="1" xfId="0" applyFont="1" applyFill="1" applyBorder="1"/>
    <xf numFmtId="0" fontId="2" fillId="2" borderId="1" xfId="0" applyFont="1" applyFill="1" applyBorder="1" applyAlignment="1">
      <alignment horizontal="center" vertical="center"/>
    </xf>
    <xf numFmtId="2" fontId="2" fillId="0" borderId="13" xfId="0" applyNumberFormat="1" applyFont="1" applyBorder="1"/>
    <xf numFmtId="2" fontId="2" fillId="5" borderId="13" xfId="0" applyNumberFormat="1" applyFont="1" applyFill="1" applyBorder="1"/>
    <xf numFmtId="0" fontId="2" fillId="0" borderId="34" xfId="0" applyFont="1" applyBorder="1"/>
    <xf numFmtId="0" fontId="2" fillId="5" borderId="34" xfId="0" applyFont="1" applyFill="1" applyBorder="1"/>
    <xf numFmtId="0" fontId="0" fillId="0" borderId="24" xfId="0" applyBorder="1" applyAlignment="1">
      <alignment horizontal="center" vertical="center"/>
    </xf>
    <xf numFmtId="0" fontId="0" fillId="5" borderId="24" xfId="0" applyFill="1" applyBorder="1" applyAlignment="1">
      <alignment horizontal="center" vertical="center"/>
    </xf>
    <xf numFmtId="0" fontId="0" fillId="4" borderId="0" xfId="0" applyFill="1"/>
    <xf numFmtId="0" fontId="6" fillId="0" borderId="0" xfId="0" applyFont="1" applyAlignment="1">
      <alignment horizontal="left" vertical="center" indent="1"/>
    </xf>
    <xf numFmtId="0" fontId="16" fillId="0" borderId="0" xfId="0" applyFont="1" applyAlignment="1">
      <alignment horizontal="left" vertical="center" indent="1"/>
    </xf>
    <xf numFmtId="0" fontId="6" fillId="0" borderId="0" xfId="0" applyFont="1" applyAlignment="1">
      <alignment horizontal="left" vertical="center" wrapText="1"/>
    </xf>
    <xf numFmtId="0" fontId="16" fillId="0" borderId="0" xfId="0" applyFont="1" applyAlignment="1">
      <alignment vertical="center"/>
    </xf>
    <xf numFmtId="0" fontId="6" fillId="0" borderId="0" xfId="0" applyFont="1" applyAlignment="1">
      <alignment horizontal="left" wrapText="1"/>
    </xf>
    <xf numFmtId="0" fontId="16" fillId="0" borderId="0" xfId="0" applyFont="1"/>
    <xf numFmtId="0" fontId="2" fillId="0" borderId="8" xfId="0" applyFont="1" applyBorder="1" applyAlignment="1">
      <alignment horizontal="center"/>
    </xf>
    <xf numFmtId="0" fontId="2" fillId="0" borderId="9" xfId="0" applyFont="1" applyBorder="1" applyAlignment="1">
      <alignment horizontal="center"/>
    </xf>
    <xf numFmtId="0" fontId="24" fillId="0" borderId="8" xfId="0" applyFont="1" applyBorder="1" applyAlignment="1">
      <alignment horizontal="center" wrapText="1"/>
    </xf>
    <xf numFmtId="0" fontId="24" fillId="0" borderId="9" xfId="0" applyFont="1" applyBorder="1" applyAlignment="1">
      <alignment horizontal="center" wrapText="1"/>
    </xf>
    <xf numFmtId="0" fontId="24" fillId="0" borderId="1" xfId="0" applyFont="1" applyBorder="1" applyAlignment="1">
      <alignment horizontal="center"/>
    </xf>
    <xf numFmtId="165" fontId="2" fillId="0" borderId="8" xfId="1" applyNumberFormat="1" applyFont="1" applyFill="1" applyBorder="1" applyAlignment="1">
      <alignment horizontal="right"/>
    </xf>
    <xf numFmtId="165" fontId="2" fillId="0" borderId="9" xfId="1" applyNumberFormat="1" applyFont="1" applyFill="1" applyBorder="1" applyAlignment="1">
      <alignment horizontal="right"/>
    </xf>
    <xf numFmtId="0" fontId="25" fillId="0" borderId="1" xfId="0" applyFont="1" applyBorder="1" applyAlignment="1">
      <alignment horizontal="center"/>
    </xf>
    <xf numFmtId="165" fontId="2" fillId="0" borderId="34" xfId="1" applyNumberFormat="1" applyFont="1" applyFill="1" applyBorder="1" applyAlignment="1">
      <alignment horizontal="center"/>
    </xf>
    <xf numFmtId="0" fontId="25" fillId="0" borderId="13" xfId="0" applyFont="1" applyBorder="1" applyAlignment="1">
      <alignment horizontal="center" wrapText="1"/>
    </xf>
    <xf numFmtId="0" fontId="8" fillId="2" borderId="1" xfId="0" applyFont="1" applyFill="1" applyBorder="1" applyAlignment="1">
      <alignment horizontal="center"/>
    </xf>
    <xf numFmtId="0" fontId="4" fillId="2" borderId="1" xfId="0" applyFont="1" applyFill="1" applyBorder="1" applyAlignment="1">
      <alignment horizontal="center" vertical="center" wrapText="1"/>
    </xf>
    <xf numFmtId="0" fontId="3" fillId="7" borderId="1" xfId="0" applyFont="1" applyFill="1" applyBorder="1" applyAlignment="1">
      <alignment horizontal="left"/>
    </xf>
    <xf numFmtId="0" fontId="2" fillId="2" borderId="1" xfId="0" applyFont="1" applyFill="1" applyBorder="1" applyAlignment="1">
      <alignment horizontal="center"/>
    </xf>
    <xf numFmtId="165" fontId="2" fillId="0" borderId="1" xfId="1" applyNumberFormat="1" applyFont="1" applyBorder="1" applyAlignment="1">
      <alignment horizontal="center"/>
    </xf>
    <xf numFmtId="165" fontId="2" fillId="0" borderId="24" xfId="1" applyNumberFormat="1" applyFont="1" applyBorder="1" applyAlignment="1">
      <alignment horizontal="center"/>
    </xf>
    <xf numFmtId="0" fontId="3" fillId="3" borderId="0" xfId="0" applyFont="1" applyFill="1" applyAlignment="1">
      <alignment horizontal="center"/>
    </xf>
    <xf numFmtId="0" fontId="3" fillId="6" borderId="8" xfId="0" applyFont="1" applyFill="1" applyBorder="1" applyAlignment="1">
      <alignment horizontal="center" vertical="center"/>
    </xf>
    <xf numFmtId="0" fontId="3" fillId="6" borderId="10" xfId="0" applyFont="1" applyFill="1" applyBorder="1" applyAlignment="1">
      <alignment horizontal="center" vertical="center"/>
    </xf>
    <xf numFmtId="0" fontId="3" fillId="6" borderId="9" xfId="0" applyFont="1" applyFill="1" applyBorder="1" applyAlignment="1">
      <alignment horizontal="center" vertical="center"/>
    </xf>
    <xf numFmtId="0" fontId="6" fillId="6" borderId="11" xfId="0" applyFont="1" applyFill="1" applyBorder="1" applyAlignment="1">
      <alignment horizontal="left" wrapText="1"/>
    </xf>
    <xf numFmtId="0" fontId="6" fillId="6" borderId="0" xfId="0" applyFont="1" applyFill="1" applyBorder="1" applyAlignment="1">
      <alignment horizontal="left" wrapText="1"/>
    </xf>
    <xf numFmtId="0" fontId="6" fillId="6" borderId="12" xfId="0" applyFont="1" applyFill="1" applyBorder="1" applyAlignment="1">
      <alignment horizontal="left" wrapText="1"/>
    </xf>
    <xf numFmtId="0" fontId="3" fillId="5" borderId="0" xfId="0" applyFont="1" applyFill="1" applyAlignment="1">
      <alignment horizontal="center"/>
    </xf>
    <xf numFmtId="0" fontId="4" fillId="4" borderId="1" xfId="0" applyFont="1" applyFill="1" applyBorder="1" applyAlignment="1">
      <alignment horizontal="center"/>
    </xf>
    <xf numFmtId="0" fontId="5" fillId="4" borderId="8" xfId="0" applyFont="1" applyFill="1" applyBorder="1" applyAlignment="1">
      <alignment horizontal="left"/>
    </xf>
    <xf numFmtId="0" fontId="5" fillId="4" borderId="10" xfId="0" applyFont="1" applyFill="1" applyBorder="1" applyAlignment="1">
      <alignment horizontal="left"/>
    </xf>
    <xf numFmtId="0" fontId="5" fillId="4" borderId="9" xfId="0" applyFont="1" applyFill="1" applyBorder="1" applyAlignment="1">
      <alignment horizontal="left"/>
    </xf>
    <xf numFmtId="0" fontId="6" fillId="4" borderId="2"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4" xfId="0" applyFont="1" applyFill="1" applyBorder="1" applyAlignment="1">
      <alignment horizontal="left" vertical="center" wrapText="1"/>
    </xf>
    <xf numFmtId="0" fontId="6" fillId="4" borderId="11" xfId="0" applyFont="1" applyFill="1" applyBorder="1" applyAlignment="1">
      <alignment horizontal="left" vertical="center" wrapText="1"/>
    </xf>
    <xf numFmtId="0" fontId="6" fillId="4" borderId="0" xfId="0" applyFont="1" applyFill="1" applyAlignment="1">
      <alignment horizontal="left" vertical="center" wrapText="1"/>
    </xf>
    <xf numFmtId="0" fontId="6" fillId="4" borderId="12" xfId="0" applyFont="1" applyFill="1" applyBorder="1" applyAlignment="1">
      <alignment horizontal="left" vertical="center" wrapText="1"/>
    </xf>
    <xf numFmtId="0" fontId="6" fillId="4" borderId="5" xfId="0" applyFont="1" applyFill="1" applyBorder="1" applyAlignment="1">
      <alignment horizontal="left" vertical="center" wrapText="1"/>
    </xf>
    <xf numFmtId="0" fontId="6" fillId="4" borderId="6" xfId="0" applyFont="1" applyFill="1" applyBorder="1" applyAlignment="1">
      <alignment horizontal="left" vertical="center" wrapText="1"/>
    </xf>
    <xf numFmtId="0" fontId="6" fillId="4" borderId="7" xfId="0" applyFont="1" applyFill="1" applyBorder="1" applyAlignment="1">
      <alignment horizontal="left" vertical="center" wrapText="1"/>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4" fillId="4" borderId="8" xfId="0" applyFont="1" applyFill="1" applyBorder="1" applyAlignment="1">
      <alignment horizontal="center"/>
    </xf>
    <xf numFmtId="0" fontId="4" fillId="4" borderId="9" xfId="0" applyFont="1" applyFill="1" applyBorder="1" applyAlignment="1">
      <alignment horizontal="center"/>
    </xf>
    <xf numFmtId="0" fontId="8" fillId="10" borderId="0" xfId="0" applyFont="1" applyFill="1" applyAlignment="1">
      <alignment horizontal="center" vertical="center"/>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11" xfId="0" applyFont="1" applyBorder="1" applyAlignment="1">
      <alignment horizontal="left" vertical="center" wrapText="1"/>
    </xf>
    <xf numFmtId="0" fontId="6" fillId="0" borderId="0" xfId="0" applyFont="1" applyBorder="1" applyAlignment="1">
      <alignment horizontal="left" vertical="center" wrapText="1"/>
    </xf>
    <xf numFmtId="0" fontId="6" fillId="0" borderId="12"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8" fillId="5" borderId="18" xfId="0" applyFont="1" applyFill="1" applyBorder="1" applyAlignment="1">
      <alignment horizontal="left" vertical="center"/>
    </xf>
    <xf numFmtId="0" fontId="8" fillId="5" borderId="3" xfId="0" applyFont="1" applyFill="1" applyBorder="1" applyAlignment="1">
      <alignment horizontal="left" vertical="center"/>
    </xf>
    <xf numFmtId="0" fontId="8" fillId="5" borderId="4" xfId="0" applyFont="1" applyFill="1" applyBorder="1" applyAlignment="1">
      <alignment horizontal="left" vertical="center"/>
    </xf>
    <xf numFmtId="0" fontId="8" fillId="5" borderId="20" xfId="0" applyFont="1" applyFill="1" applyBorder="1" applyAlignment="1">
      <alignment horizontal="left" vertical="center"/>
    </xf>
    <xf numFmtId="0" fontId="8" fillId="5" borderId="6" xfId="0" applyFont="1" applyFill="1" applyBorder="1" applyAlignment="1">
      <alignment horizontal="left" vertical="center"/>
    </xf>
    <xf numFmtId="0" fontId="8" fillId="5" borderId="7" xfId="0" applyFont="1" applyFill="1" applyBorder="1" applyAlignment="1">
      <alignment horizontal="left" vertical="center"/>
    </xf>
    <xf numFmtId="0" fontId="14" fillId="5" borderId="0" xfId="0" applyFont="1" applyFill="1" applyAlignment="1">
      <alignment horizontal="center" vertical="center"/>
    </xf>
    <xf numFmtId="0" fontId="8" fillId="2" borderId="0" xfId="0" applyFont="1" applyFill="1" applyAlignment="1">
      <alignment horizontal="center" vertical="center"/>
    </xf>
    <xf numFmtId="0" fontId="8" fillId="5" borderId="15" xfId="0" applyFont="1" applyFill="1" applyBorder="1" applyAlignment="1">
      <alignment horizontal="left" vertical="center" wrapText="1"/>
    </xf>
    <xf numFmtId="0" fontId="8" fillId="5" borderId="16" xfId="0" applyFont="1" applyFill="1" applyBorder="1" applyAlignment="1">
      <alignment horizontal="left" vertical="center" wrapText="1"/>
    </xf>
    <xf numFmtId="0" fontId="8" fillId="5" borderId="27" xfId="0" applyFont="1" applyFill="1" applyBorder="1" applyAlignment="1">
      <alignment horizontal="left" vertical="center" wrapText="1"/>
    </xf>
    <xf numFmtId="0" fontId="8" fillId="5" borderId="20" xfId="0" applyFont="1" applyFill="1" applyBorder="1" applyAlignment="1">
      <alignment horizontal="left" vertical="center" wrapText="1"/>
    </xf>
    <xf numFmtId="0" fontId="8" fillId="5" borderId="6" xfId="0" applyFont="1" applyFill="1" applyBorder="1" applyAlignment="1">
      <alignment horizontal="left" vertical="center" wrapText="1"/>
    </xf>
    <xf numFmtId="0" fontId="8" fillId="5" borderId="7" xfId="0" applyFont="1" applyFill="1" applyBorder="1" applyAlignment="1">
      <alignment horizontal="left" vertical="center" wrapText="1"/>
    </xf>
    <xf numFmtId="0" fontId="8" fillId="5" borderId="18" xfId="0" applyFont="1" applyFill="1" applyBorder="1" applyAlignment="1">
      <alignment horizontal="left" vertical="center" wrapText="1"/>
    </xf>
    <xf numFmtId="0" fontId="8" fillId="5" borderId="3" xfId="0" applyFont="1" applyFill="1" applyBorder="1" applyAlignment="1">
      <alignment horizontal="left" vertical="center" wrapText="1"/>
    </xf>
    <xf numFmtId="0" fontId="8" fillId="5" borderId="4" xfId="0" applyFont="1" applyFill="1" applyBorder="1" applyAlignment="1">
      <alignment horizontal="left" vertical="center" wrapText="1"/>
    </xf>
    <xf numFmtId="0" fontId="8" fillId="5" borderId="21" xfId="0" applyFont="1" applyFill="1" applyBorder="1" applyAlignment="1">
      <alignment horizontal="left" vertical="center" wrapText="1"/>
    </xf>
    <xf numFmtId="0" fontId="8" fillId="5" borderId="22" xfId="0" applyFont="1" applyFill="1" applyBorder="1" applyAlignment="1">
      <alignment horizontal="left" vertical="center" wrapText="1"/>
    </xf>
    <xf numFmtId="0" fontId="8" fillId="5" borderId="23" xfId="0" applyFont="1" applyFill="1" applyBorder="1" applyAlignment="1">
      <alignment horizontal="left" vertical="center" wrapText="1"/>
    </xf>
    <xf numFmtId="0" fontId="8" fillId="5" borderId="1" xfId="0" applyFont="1" applyFill="1" applyBorder="1" applyAlignment="1">
      <alignment horizontal="right" vertical="center"/>
    </xf>
    <xf numFmtId="0" fontId="8" fillId="5" borderId="19" xfId="0" applyFont="1" applyFill="1" applyBorder="1" applyAlignment="1">
      <alignment horizontal="right" vertical="center"/>
    </xf>
    <xf numFmtId="0" fontId="8" fillId="5" borderId="1" xfId="0" applyFont="1" applyFill="1" applyBorder="1" applyAlignment="1">
      <alignment horizontal="left" vertical="center"/>
    </xf>
    <xf numFmtId="0" fontId="8" fillId="5" borderId="19" xfId="0" applyFont="1" applyFill="1" applyBorder="1" applyAlignment="1">
      <alignment horizontal="left" vertical="center"/>
    </xf>
    <xf numFmtId="3" fontId="8" fillId="5" borderId="1" xfId="0" applyNumberFormat="1" applyFont="1" applyFill="1" applyBorder="1" applyAlignment="1">
      <alignment horizontal="left" vertical="center"/>
    </xf>
    <xf numFmtId="3" fontId="8" fillId="5" borderId="19" xfId="0" applyNumberFormat="1" applyFont="1" applyFill="1" applyBorder="1" applyAlignment="1">
      <alignment horizontal="left" vertical="center"/>
    </xf>
    <xf numFmtId="0" fontId="21" fillId="2" borderId="0" xfId="0" applyFont="1" applyFill="1" applyAlignment="1">
      <alignment horizontal="center" vertical="center"/>
    </xf>
    <xf numFmtId="0" fontId="8" fillId="5" borderId="32" xfId="0" applyFont="1" applyFill="1" applyBorder="1" applyAlignment="1">
      <alignment horizontal="left" vertical="center"/>
    </xf>
    <xf numFmtId="0" fontId="8" fillId="5" borderId="2" xfId="0" applyFont="1" applyFill="1" applyBorder="1" applyAlignment="1">
      <alignment horizontal="right" vertical="center"/>
    </xf>
    <xf numFmtId="0" fontId="8" fillId="5" borderId="3" xfId="0" applyFont="1" applyFill="1" applyBorder="1" applyAlignment="1">
      <alignment horizontal="right" vertical="center"/>
    </xf>
    <xf numFmtId="0" fontId="8" fillId="5" borderId="30" xfId="0" applyFont="1" applyFill="1" applyBorder="1" applyAlignment="1">
      <alignment horizontal="right" vertical="center"/>
    </xf>
    <xf numFmtId="0" fontId="8" fillId="5" borderId="5" xfId="0" applyFont="1" applyFill="1" applyBorder="1" applyAlignment="1">
      <alignment horizontal="right" vertical="center"/>
    </xf>
    <xf numFmtId="0" fontId="8" fillId="5" borderId="6" xfId="0" applyFont="1" applyFill="1" applyBorder="1" applyAlignment="1">
      <alignment horizontal="right" vertical="center"/>
    </xf>
    <xf numFmtId="0" fontId="8" fillId="5" borderId="31" xfId="0" applyFont="1" applyFill="1" applyBorder="1" applyAlignment="1">
      <alignment horizontal="right" vertical="center"/>
    </xf>
    <xf numFmtId="0" fontId="8" fillId="5" borderId="33" xfId="0" applyFont="1" applyFill="1" applyBorder="1" applyAlignment="1">
      <alignment horizontal="left" vertical="center"/>
    </xf>
    <xf numFmtId="0" fontId="8" fillId="5" borderId="24" xfId="0" applyFont="1" applyFill="1" applyBorder="1" applyAlignment="1">
      <alignment horizontal="left" vertical="center"/>
    </xf>
    <xf numFmtId="0" fontId="8" fillId="5" borderId="24" xfId="0" applyFont="1" applyFill="1" applyBorder="1" applyAlignment="1">
      <alignment horizontal="right" vertical="center"/>
    </xf>
    <xf numFmtId="0" fontId="8" fillId="5" borderId="25" xfId="0" applyFont="1" applyFill="1" applyBorder="1" applyAlignment="1">
      <alignment horizontal="right" vertical="center"/>
    </xf>
    <xf numFmtId="0" fontId="15" fillId="5" borderId="18" xfId="0" applyFont="1" applyFill="1" applyBorder="1" applyAlignment="1">
      <alignment horizontal="left" vertical="center"/>
    </xf>
    <xf numFmtId="0" fontId="15" fillId="5" borderId="3" xfId="0" applyFont="1" applyFill="1" applyBorder="1" applyAlignment="1">
      <alignment horizontal="left" vertical="center"/>
    </xf>
    <xf numFmtId="0" fontId="15" fillId="5" borderId="4" xfId="0" applyFont="1" applyFill="1" applyBorder="1" applyAlignment="1">
      <alignment horizontal="left" vertical="center"/>
    </xf>
    <xf numFmtId="0" fontId="15" fillId="5" borderId="21" xfId="0" applyFont="1" applyFill="1" applyBorder="1" applyAlignment="1">
      <alignment horizontal="left" vertical="center"/>
    </xf>
    <xf numFmtId="0" fontId="15" fillId="5" borderId="22" xfId="0" applyFont="1" applyFill="1" applyBorder="1" applyAlignment="1">
      <alignment horizontal="left" vertical="center"/>
    </xf>
    <xf numFmtId="0" fontId="15" fillId="5" borderId="23" xfId="0" applyFont="1" applyFill="1" applyBorder="1" applyAlignment="1">
      <alignment horizontal="left" vertical="center"/>
    </xf>
    <xf numFmtId="0" fontId="15" fillId="5" borderId="15" xfId="0" applyFont="1" applyFill="1" applyBorder="1" applyAlignment="1">
      <alignment horizontal="left" vertical="center"/>
    </xf>
    <xf numFmtId="0" fontId="15" fillId="5" borderId="16" xfId="0" applyFont="1" applyFill="1" applyBorder="1" applyAlignment="1">
      <alignment horizontal="left" vertical="center"/>
    </xf>
    <xf numFmtId="0" fontId="15" fillId="5" borderId="27" xfId="0" applyFont="1" applyFill="1" applyBorder="1" applyAlignment="1">
      <alignment horizontal="left" vertical="center"/>
    </xf>
    <xf numFmtId="0" fontId="15" fillId="5" borderId="20" xfId="0" applyFont="1" applyFill="1" applyBorder="1" applyAlignment="1">
      <alignment horizontal="left" vertical="center"/>
    </xf>
    <xf numFmtId="0" fontId="15" fillId="5" borderId="6" xfId="0" applyFont="1" applyFill="1" applyBorder="1" applyAlignment="1">
      <alignment horizontal="left" vertical="center"/>
    </xf>
    <xf numFmtId="0" fontId="15" fillId="5" borderId="7" xfId="0" applyFont="1" applyFill="1" applyBorder="1" applyAlignment="1">
      <alignment horizontal="left" vertical="center"/>
    </xf>
    <xf numFmtId="0" fontId="8" fillId="5" borderId="28" xfId="0" applyFont="1" applyFill="1" applyBorder="1" applyAlignment="1">
      <alignment horizontal="right" vertical="center"/>
    </xf>
    <xf numFmtId="0" fontId="8" fillId="5" borderId="29" xfId="0" applyFont="1" applyFill="1" applyBorder="1" applyAlignment="1">
      <alignment horizontal="right" vertical="center"/>
    </xf>
    <xf numFmtId="0" fontId="20" fillId="5" borderId="15" xfId="0" applyFont="1" applyFill="1" applyBorder="1" applyAlignment="1">
      <alignment horizontal="center" vertical="center" wrapText="1"/>
    </xf>
    <xf numFmtId="0" fontId="20" fillId="5" borderId="16" xfId="0" applyFont="1" applyFill="1" applyBorder="1" applyAlignment="1">
      <alignment horizontal="center" vertical="center" wrapText="1"/>
    </xf>
    <xf numFmtId="0" fontId="20" fillId="5" borderId="17" xfId="0" applyFont="1" applyFill="1" applyBorder="1" applyAlignment="1">
      <alignment horizontal="center" vertical="center" wrapText="1"/>
    </xf>
    <xf numFmtId="0" fontId="20" fillId="5" borderId="21" xfId="0" applyFont="1" applyFill="1" applyBorder="1" applyAlignment="1">
      <alignment horizontal="center" vertical="center" wrapText="1"/>
    </xf>
    <xf numFmtId="0" fontId="20" fillId="5" borderId="22" xfId="0" applyFont="1" applyFill="1" applyBorder="1" applyAlignment="1">
      <alignment horizontal="center" vertical="center" wrapText="1"/>
    </xf>
    <xf numFmtId="0" fontId="20" fillId="5" borderId="26" xfId="0" applyFont="1" applyFill="1" applyBorder="1" applyAlignment="1">
      <alignment horizontal="center" vertical="center" wrapText="1"/>
    </xf>
    <xf numFmtId="165" fontId="16" fillId="5" borderId="28" xfId="0" applyNumberFormat="1" applyFont="1" applyFill="1" applyBorder="1" applyAlignment="1">
      <alignment horizontal="right" vertical="center"/>
    </xf>
    <xf numFmtId="165" fontId="16" fillId="5" borderId="29" xfId="0" applyNumberFormat="1" applyFont="1" applyFill="1" applyBorder="1" applyAlignment="1">
      <alignment horizontal="right" vertical="center"/>
    </xf>
    <xf numFmtId="165" fontId="16" fillId="5" borderId="1" xfId="0" applyNumberFormat="1" applyFont="1" applyFill="1" applyBorder="1" applyAlignment="1">
      <alignment horizontal="right" vertical="center"/>
    </xf>
    <xf numFmtId="165" fontId="16" fillId="5" borderId="19" xfId="0" applyNumberFormat="1" applyFont="1" applyFill="1" applyBorder="1" applyAlignment="1">
      <alignment horizontal="right" vertical="center"/>
    </xf>
    <xf numFmtId="43" fontId="8" fillId="5" borderId="1" xfId="1" applyFont="1" applyFill="1" applyBorder="1" applyAlignment="1">
      <alignment horizontal="right" vertical="center"/>
    </xf>
    <xf numFmtId="43" fontId="8" fillId="5" borderId="19" xfId="1" applyFont="1" applyFill="1" applyBorder="1" applyAlignment="1">
      <alignment horizontal="right" vertical="center"/>
    </xf>
    <xf numFmtId="0" fontId="8" fillId="5" borderId="15" xfId="0" applyFont="1" applyFill="1" applyBorder="1" applyAlignment="1">
      <alignment horizontal="left" vertical="center"/>
    </xf>
    <xf numFmtId="0" fontId="8" fillId="5" borderId="16" xfId="0" applyFont="1" applyFill="1" applyBorder="1" applyAlignment="1">
      <alignment horizontal="left" vertical="center"/>
    </xf>
    <xf numFmtId="0" fontId="8" fillId="5" borderId="27" xfId="0" applyFont="1" applyFill="1" applyBorder="1" applyAlignment="1">
      <alignment horizontal="left" vertical="center"/>
    </xf>
    <xf numFmtId="0" fontId="8" fillId="5" borderId="25" xfId="0" applyFont="1" applyFill="1" applyBorder="1" applyAlignment="1">
      <alignment horizontal="left" vertical="center"/>
    </xf>
    <xf numFmtId="0" fontId="6" fillId="0" borderId="0" xfId="0" applyFont="1" applyAlignment="1">
      <alignment horizontal="left" wrapText="1"/>
    </xf>
    <xf numFmtId="0" fontId="26" fillId="4" borderId="0" xfId="0" applyFont="1" applyFill="1" applyAlignment="1">
      <alignment horizontal="center" vertical="center"/>
    </xf>
    <xf numFmtId="0" fontId="27" fillId="4" borderId="0" xfId="0" applyFont="1" applyFill="1" applyAlignment="1">
      <alignment horizontal="center" vertical="center"/>
    </xf>
    <xf numFmtId="0" fontId="6" fillId="0" borderId="0" xfId="0" applyFont="1" applyAlignment="1">
      <alignment horizontal="left" vertical="center" wrapText="1"/>
    </xf>
    <xf numFmtId="0" fontId="10" fillId="0" borderId="0" xfId="0" applyFont="1"/>
  </cellXfs>
  <cellStyles count="2">
    <cellStyle name="Comma" xfId="1" builtinId="3"/>
    <cellStyle name="Normal" xfId="0" builtinId="0"/>
  </cellStyles>
  <dxfs count="156">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yyyy\-mm\-dd"/>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font>
    </dxf>
    <dxf>
      <fill>
        <patternFill patternType="solid">
          <bgColor theme="6" tint="0.39997558519241921"/>
        </patternFill>
      </fill>
    </dxf>
    <dxf>
      <fill>
        <patternFill>
          <bgColor theme="9" tint="0.39997558519241921"/>
        </patternFill>
      </fill>
    </dxf>
    <dxf>
      <fill>
        <patternFill patternType="solid">
          <bgColor theme="3" tint="0.79998168889431442"/>
        </patternFill>
      </fill>
    </dxf>
    <dxf>
      <fill>
        <patternFill>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5700"/>
      </font>
      <fill>
        <patternFill>
          <bgColor rgb="FFFFEB9C"/>
        </patternFill>
      </fill>
    </dxf>
    <dxf>
      <font>
        <color auto="1"/>
      </font>
    </dxf>
    <dxf>
      <font>
        <b/>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5700"/>
      </font>
      <fill>
        <patternFill>
          <bgColor rgb="FFFFEB9C"/>
        </patternFill>
      </fill>
    </dxf>
    <dxf>
      <font>
        <color rgb="FF9C0006"/>
      </font>
      <fill>
        <patternFill>
          <bgColor rgb="FFFFC7CE"/>
        </patternFill>
      </fill>
    </dxf>
    <dxf>
      <font>
        <b/>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b/>
      </font>
    </dxf>
    <dxf>
      <numFmt numFmtId="35" formatCode="_(* #,##0.00_);_(* \(#,##0.0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color rgb="FF9C5700"/>
      </font>
      <fill>
        <patternFill>
          <bgColor rgb="FFFFEB9C"/>
        </patternFill>
      </fill>
    </dxf>
    <dxf>
      <font>
        <b/>
      </font>
    </dxf>
    <dxf>
      <alignment horizontal="center"/>
    </dxf>
    <dxf>
      <alignment horizontal="center"/>
    </dxf>
    <dxf>
      <numFmt numFmtId="165" formatCode="_(* #,##0_);_(* \(#,##0\);_(* &quot;-&quot;??_);_(@_)"/>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font>
        <b/>
      </font>
    </dxf>
    <dxf>
      <numFmt numFmtId="165"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color rgb="FF9C0006"/>
      </font>
      <fill>
        <patternFill>
          <bgColor rgb="FFFFC7CE"/>
        </patternFill>
      </fill>
    </dxf>
    <dxf>
      <font>
        <b/>
      </font>
    </dxf>
    <dxf>
      <numFmt numFmtId="165"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color rgb="FF006100"/>
      </font>
      <fill>
        <patternFill>
          <bgColor rgb="FFC6EFCE"/>
        </patternFill>
      </fill>
    </dxf>
    <dxf>
      <font>
        <color rgb="FF006100"/>
      </font>
      <fill>
        <patternFill>
          <bgColor rgb="FFC6EFCE"/>
        </patternFill>
      </fill>
    </dxf>
  </dxfs>
  <tableStyles count="0" defaultTableStyle="TableStyleMedium9" defaultPivotStyle="PivotStyleLight16"/>
  <colors>
    <mruColors>
      <color rgb="FF0000FF"/>
      <color rgb="FF000099"/>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[Client_Project_002_Procurement_Dataset - 3-Data Analysis Report.xlsx]Supplier vs Spend!PivotTable1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Supplier</a:t>
            </a:r>
            <a:r>
              <a:rPr lang="en-US" sz="1200" b="1" baseline="0">
                <a:solidFill>
                  <a:sysClr val="windowText" lastClr="000000"/>
                </a:solidFill>
              </a:rPr>
              <a:t> vs Spend</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vs Spend'!$B$3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vs Spend'!$A$4:$A$10</c:f>
              <c:strCache>
                <c:ptCount val="6"/>
                <c:pt idx="0">
                  <c:v>Delta</c:v>
                </c:pt>
                <c:pt idx="1">
                  <c:v>Beta</c:v>
                </c:pt>
                <c:pt idx="2">
                  <c:v>Gamma</c:v>
                </c:pt>
                <c:pt idx="3">
                  <c:v>Omega</c:v>
                </c:pt>
                <c:pt idx="4">
                  <c:v>Alpha</c:v>
                </c:pt>
                <c:pt idx="5">
                  <c:v>Prime</c:v>
                </c:pt>
              </c:strCache>
            </c:strRef>
          </c:cat>
          <c:val>
            <c:numRef>
              <c:f>'Supplier vs Spend'!$B$4:$B$10</c:f>
              <c:numCache>
                <c:formatCode>_(* #,##0_);_(* \(#,##0\);_(* "-"??_);_(@_)</c:formatCode>
                <c:ptCount val="6"/>
                <c:pt idx="0">
                  <c:v>220915</c:v>
                </c:pt>
                <c:pt idx="1">
                  <c:v>280125</c:v>
                </c:pt>
                <c:pt idx="2">
                  <c:v>302310</c:v>
                </c:pt>
                <c:pt idx="3">
                  <c:v>379660</c:v>
                </c:pt>
                <c:pt idx="4">
                  <c:v>433060</c:v>
                </c:pt>
                <c:pt idx="5">
                  <c:v>487595</c:v>
                </c:pt>
              </c:numCache>
            </c:numRef>
          </c:val>
          <c:extLst>
            <c:ext xmlns:c16="http://schemas.microsoft.com/office/drawing/2014/chart" uri="{C3380CC4-5D6E-409C-BE32-E72D297353CC}">
              <c16:uniqueId val="{00000000-02EB-4E3D-BD33-506F5C1AD831}"/>
            </c:ext>
          </c:extLst>
        </c:ser>
        <c:dLbls>
          <c:dLblPos val="outEnd"/>
          <c:showLegendKey val="0"/>
          <c:showVal val="1"/>
          <c:showCatName val="0"/>
          <c:showSerName val="0"/>
          <c:showPercent val="0"/>
          <c:showBubbleSize val="0"/>
        </c:dLbls>
        <c:gapWidth val="219"/>
        <c:overlap val="-27"/>
        <c:axId val="1760012191"/>
        <c:axId val="1760014111"/>
      </c:barChart>
      <c:catAx>
        <c:axId val="176001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014111"/>
        <c:crosses val="autoZero"/>
        <c:auto val="1"/>
        <c:lblAlgn val="ctr"/>
        <c:lblOffset val="100"/>
        <c:noMultiLvlLbl val="0"/>
      </c:catAx>
      <c:valAx>
        <c:axId val="176001411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01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[Client_Project_002_Procurement_Dataset - 3-Data Analysis Report.xlsx]Supplier vs Spend!PivotTable1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Supplier vs Spend</a:t>
            </a:r>
          </a:p>
        </c:rich>
      </c:tx>
      <c:layout>
        <c:manualLayout>
          <c:xMode val="edge"/>
          <c:yMode val="edge"/>
          <c:x val="0.35234711286089238"/>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'Supplier vs Spend'!$B$3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82-4819-A330-2DC218CCF3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82-4819-A330-2DC218CCF3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82-4819-A330-2DC218CCF3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82-4819-A330-2DC218CCF3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D82-4819-A330-2DC218CCF3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D82-4819-A330-2DC218CCF39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'Supplier vs Spend'!$A$4:$A$10</c:f>
              <c:strCache>
                <c:ptCount val="6"/>
                <c:pt idx="0">
                  <c:v>Delta</c:v>
                </c:pt>
                <c:pt idx="1">
                  <c:v>Beta</c:v>
                </c:pt>
                <c:pt idx="2">
                  <c:v>Gamma</c:v>
                </c:pt>
                <c:pt idx="3">
                  <c:v>Omega</c:v>
                </c:pt>
                <c:pt idx="4">
                  <c:v>Alpha</c:v>
                </c:pt>
                <c:pt idx="5">
                  <c:v>Prime</c:v>
                </c:pt>
              </c:strCache>
            </c:strRef>
          </c:cat>
          <c:val>
            <c:numRef>
              <c:f>'Supplier vs Spend'!$B$4:$B$10</c:f>
              <c:numCache>
                <c:formatCode>_(* #,##0_);_(* \(#,##0\);_(* "-"??_);_(@_)</c:formatCode>
                <c:ptCount val="6"/>
                <c:pt idx="0">
                  <c:v>220915</c:v>
                </c:pt>
                <c:pt idx="1">
                  <c:v>280125</c:v>
                </c:pt>
                <c:pt idx="2">
                  <c:v>302310</c:v>
                </c:pt>
                <c:pt idx="3">
                  <c:v>379660</c:v>
                </c:pt>
                <c:pt idx="4">
                  <c:v>433060</c:v>
                </c:pt>
                <c:pt idx="5">
                  <c:v>487595</c:v>
                </c:pt>
              </c:numCache>
            </c:numRef>
          </c:val>
          <c:extLst>
            <c:ext xmlns:c16="http://schemas.microsoft.com/office/drawing/2014/chart" uri="{C3380CC4-5D6E-409C-BE32-E72D297353CC}">
              <c16:uniqueId val="{00000000-BEF7-4055-B73D-51A75483AC5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[Client_Project_002_Procurement_Dataset - 3-Data Analysis Report.xlsx]Category vs Spend!PivotTable2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Category vs Spend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vs Spend'!$B$3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A7D-478D-AF3E-837C736B24F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A7D-478D-AF3E-837C736B24F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A7D-478D-AF3E-837C736B24F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A7D-478D-AF3E-837C736B24F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A7D-478D-AF3E-837C736B24F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vs Spend'!$A$4:$A$9</c:f>
              <c:strCache>
                <c:ptCount val="5"/>
                <c:pt idx="0">
                  <c:v>Raw Materials</c:v>
                </c:pt>
                <c:pt idx="1">
                  <c:v>Logistics</c:v>
                </c:pt>
                <c:pt idx="2">
                  <c:v>MRO</c:v>
                </c:pt>
                <c:pt idx="3">
                  <c:v>IT</c:v>
                </c:pt>
                <c:pt idx="4">
                  <c:v>Packaging</c:v>
                </c:pt>
              </c:strCache>
            </c:strRef>
          </c:cat>
          <c:val>
            <c:numRef>
              <c:f>'Category vs Spend'!$B$4:$B$9</c:f>
              <c:numCache>
                <c:formatCode>_(* #,##0_);_(* \(#,##0\);_(* "-"??_);_(@_)</c:formatCode>
                <c:ptCount val="5"/>
                <c:pt idx="0">
                  <c:v>352965</c:v>
                </c:pt>
                <c:pt idx="1">
                  <c:v>363920</c:v>
                </c:pt>
                <c:pt idx="2">
                  <c:v>425570</c:v>
                </c:pt>
                <c:pt idx="3">
                  <c:v>449905</c:v>
                </c:pt>
                <c:pt idx="4">
                  <c:v>511305</c:v>
                </c:pt>
              </c:numCache>
            </c:numRef>
          </c:val>
          <c:extLst>
            <c:ext xmlns:c16="http://schemas.microsoft.com/office/drawing/2014/chart" uri="{C3380CC4-5D6E-409C-BE32-E72D297353CC}">
              <c16:uniqueId val="{00000000-EAF4-4429-B148-661C3D469BEC}"/>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79818941382327224"/>
          <c:y val="1.9732429279673346E-2"/>
          <c:w val="0.15234429357747603"/>
          <c:h val="0.352226204096282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[Client_Project_002_Procurement_Dataset - 3-Data Analysis Report.xlsx]Department vs Spend!PivotTable3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Department</a:t>
            </a:r>
            <a:r>
              <a:rPr lang="en-US" sz="1200" b="1" baseline="0">
                <a:solidFill>
                  <a:sysClr val="windowText" lastClr="000000"/>
                </a:solidFill>
              </a:rPr>
              <a:t> vs Spend</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vs Spend'!$B$3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Spend'!$A$4:$A$10</c:f>
              <c:strCache>
                <c:ptCount val="6"/>
                <c:pt idx="0">
                  <c:v>Admin</c:v>
                </c:pt>
                <c:pt idx="1">
                  <c:v>Department not found</c:v>
                </c:pt>
                <c:pt idx="2">
                  <c:v>IT</c:v>
                </c:pt>
                <c:pt idx="3">
                  <c:v>Maintenance</c:v>
                </c:pt>
                <c:pt idx="4">
                  <c:v>Production</c:v>
                </c:pt>
                <c:pt idx="5">
                  <c:v>Warehouse</c:v>
                </c:pt>
              </c:strCache>
            </c:strRef>
          </c:cat>
          <c:val>
            <c:numRef>
              <c:f>'Department vs Spend'!$B$4:$B$10</c:f>
              <c:numCache>
                <c:formatCode>_(* #,##0_);_(* \(#,##0\);_(* "-"??_);_(@_)</c:formatCode>
                <c:ptCount val="6"/>
                <c:pt idx="0">
                  <c:v>488070</c:v>
                </c:pt>
                <c:pt idx="1">
                  <c:v>330</c:v>
                </c:pt>
                <c:pt idx="2">
                  <c:v>425020</c:v>
                </c:pt>
                <c:pt idx="3">
                  <c:v>393230</c:v>
                </c:pt>
                <c:pt idx="4">
                  <c:v>475225</c:v>
                </c:pt>
                <c:pt idx="5">
                  <c:v>321790</c:v>
                </c:pt>
              </c:numCache>
            </c:numRef>
          </c:val>
          <c:extLst>
            <c:ext xmlns:c16="http://schemas.microsoft.com/office/drawing/2014/chart" uri="{C3380CC4-5D6E-409C-BE32-E72D297353CC}">
              <c16:uniqueId val="{00000000-5685-47CA-8946-149DF58DF039}"/>
            </c:ext>
          </c:extLst>
        </c:ser>
        <c:dLbls>
          <c:dLblPos val="outEnd"/>
          <c:showLegendKey val="0"/>
          <c:showVal val="1"/>
          <c:showCatName val="0"/>
          <c:showSerName val="0"/>
          <c:showPercent val="0"/>
          <c:showBubbleSize val="0"/>
        </c:dLbls>
        <c:gapWidth val="219"/>
        <c:overlap val="-27"/>
        <c:axId val="1852603327"/>
        <c:axId val="1852595167"/>
      </c:barChart>
      <c:catAx>
        <c:axId val="185260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595167"/>
        <c:crosses val="autoZero"/>
        <c:auto val="1"/>
        <c:lblAlgn val="ctr"/>
        <c:lblOffset val="100"/>
        <c:noMultiLvlLbl val="0"/>
      </c:catAx>
      <c:valAx>
        <c:axId val="185259516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603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[Client_Project_002_Procurement_Dataset - 3-Data Analysis Report.xlsx]Department vs Spend!PivotTable3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rPr>
              <a:t>Department vs Spend</a:t>
            </a:r>
          </a:p>
        </c:rich>
      </c:tx>
      <c:layout>
        <c:manualLayout>
          <c:xMode val="edge"/>
          <c:yMode val="edge"/>
          <c:x val="0.3072082239720034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4.1666666666666727E-3"/>
              <c:y val="-1.15740740740740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10728346456693"/>
                  <c:h val="0.15419510061242345"/>
                </c:manualLayout>
              </c15:layout>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'Department vs Spend'!$B$3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A96-4861-BD7D-A23B5069531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BA15-4776-A2D4-13B1533BE75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A96-4861-BD7D-A23B5069531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A96-4861-BD7D-A23B5069531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A96-4861-BD7D-A23B5069531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A96-4861-BD7D-A23B5069531B}"/>
              </c:ext>
            </c:extLst>
          </c:dPt>
          <c:dLbls>
            <c:dLbl>
              <c:idx val="1"/>
              <c:layout>
                <c:manualLayout>
                  <c:x val="4.1666666666666727E-3"/>
                  <c:y val="-1.15740740740740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10728346456693"/>
                      <c:h val="0.15419510061242345"/>
                    </c:manualLayout>
                  </c15:layout>
                </c:ext>
                <c:ext xmlns:c16="http://schemas.microsoft.com/office/drawing/2014/chart" uri="{C3380CC4-5D6E-409C-BE32-E72D297353CC}">
                  <c16:uniqueId val="{00000002-BA15-4776-A2D4-13B1533BE75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'Department vs Spend'!$A$4:$A$10</c:f>
              <c:strCache>
                <c:ptCount val="6"/>
                <c:pt idx="0">
                  <c:v>Admin</c:v>
                </c:pt>
                <c:pt idx="1">
                  <c:v>Department not found</c:v>
                </c:pt>
                <c:pt idx="2">
                  <c:v>IT</c:v>
                </c:pt>
                <c:pt idx="3">
                  <c:v>Maintenance</c:v>
                </c:pt>
                <c:pt idx="4">
                  <c:v>Production</c:v>
                </c:pt>
                <c:pt idx="5">
                  <c:v>Warehouse</c:v>
                </c:pt>
              </c:strCache>
            </c:strRef>
          </c:cat>
          <c:val>
            <c:numRef>
              <c:f>'Department vs Spend'!$B$4:$B$10</c:f>
              <c:numCache>
                <c:formatCode>_(* #,##0_);_(* \(#,##0\);_(* "-"??_);_(@_)</c:formatCode>
                <c:ptCount val="6"/>
                <c:pt idx="0">
                  <c:v>488070</c:v>
                </c:pt>
                <c:pt idx="1">
                  <c:v>330</c:v>
                </c:pt>
                <c:pt idx="2">
                  <c:v>425020</c:v>
                </c:pt>
                <c:pt idx="3">
                  <c:v>393230</c:v>
                </c:pt>
                <c:pt idx="4">
                  <c:v>475225</c:v>
                </c:pt>
                <c:pt idx="5">
                  <c:v>321790</c:v>
                </c:pt>
              </c:numCache>
            </c:numRef>
          </c:val>
          <c:extLst>
            <c:ext xmlns:c16="http://schemas.microsoft.com/office/drawing/2014/chart" uri="{C3380CC4-5D6E-409C-BE32-E72D297353CC}">
              <c16:uniqueId val="{00000000-BA15-4776-A2D4-13B1533BE750}"/>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80207808398950142"/>
          <c:y val="9.4659521726450993E-3"/>
          <c:w val="0.18958858267716536"/>
          <c:h val="0.53601961213181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[Client_Project_002_Procurement_Dataset - 3-Data Analysis Report.xlsx]Item vs Spend!PivotTable4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Item vs Spend</a:t>
            </a:r>
          </a:p>
        </c:rich>
      </c:tx>
      <c:layout>
        <c:manualLayout>
          <c:xMode val="edge"/>
          <c:yMode val="edge"/>
          <c:x val="0.33068744531933508"/>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'Item vs Spend'!$B$3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CFC-4D9F-A30F-1333073DC98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CFC-4D9F-A30F-1333073DC98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CFC-4D9F-A30F-1333073DC98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CFC-4D9F-A30F-1333073DC98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CFC-4D9F-A30F-1333073DC98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'Item vs Spend'!$A$4:$A$9</c:f>
              <c:strCache>
                <c:ptCount val="5"/>
                <c:pt idx="0">
                  <c:v>Bearings</c:v>
                </c:pt>
                <c:pt idx="1">
                  <c:v>Boxes</c:v>
                </c:pt>
                <c:pt idx="2">
                  <c:v>Freight</c:v>
                </c:pt>
                <c:pt idx="3">
                  <c:v>Laptop</c:v>
                </c:pt>
                <c:pt idx="4">
                  <c:v>Steel</c:v>
                </c:pt>
              </c:strCache>
            </c:strRef>
          </c:cat>
          <c:val>
            <c:numRef>
              <c:f>'Item vs Spend'!$B$4:$B$9</c:f>
              <c:numCache>
                <c:formatCode>_(* #,##0.00_);_(* \(#,##0.00\);_(* "-"??_);_(@_)</c:formatCode>
                <c:ptCount val="5"/>
                <c:pt idx="0">
                  <c:v>433500</c:v>
                </c:pt>
                <c:pt idx="1">
                  <c:v>390540</c:v>
                </c:pt>
                <c:pt idx="2">
                  <c:v>369150</c:v>
                </c:pt>
                <c:pt idx="3">
                  <c:v>576855</c:v>
                </c:pt>
                <c:pt idx="4">
                  <c:v>333620</c:v>
                </c:pt>
              </c:numCache>
            </c:numRef>
          </c:val>
          <c:extLst>
            <c:ext xmlns:c16="http://schemas.microsoft.com/office/drawing/2014/chart" uri="{C3380CC4-5D6E-409C-BE32-E72D297353CC}">
              <c16:uniqueId val="{00000000-3FAA-489F-8127-3C8B8FC03A5F}"/>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85899540682414699"/>
          <c:y val="2.4362058909302976E-2"/>
          <c:w val="0.11916337620554029"/>
          <c:h val="0.39248062742157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[Client_Project_002_Procurement_Dataset - 3-Data Analysis Report.xlsx]PO Status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PO Status Analysis</a:t>
            </a:r>
          </a:p>
        </c:rich>
      </c:tx>
      <c:layout>
        <c:manualLayout>
          <c:xMode val="edge"/>
          <c:yMode val="edge"/>
          <c:x val="0.31472222222222229"/>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'PO Status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20-44F7-92EB-4A64F9AC31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20-44F7-92EB-4A64F9AC31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20-44F7-92EB-4A64F9AC31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 Status Analysis'!$A$4:$A$7</c:f>
              <c:strCache>
                <c:ptCount val="3"/>
                <c:pt idx="0">
                  <c:v>Cancelled</c:v>
                </c:pt>
                <c:pt idx="1">
                  <c:v>Completed</c:v>
                </c:pt>
                <c:pt idx="2">
                  <c:v>Pending</c:v>
                </c:pt>
              </c:strCache>
            </c:strRef>
          </c:cat>
          <c:val>
            <c:numRef>
              <c:f>'PO Status Analysis'!$B$4:$B$7</c:f>
              <c:numCache>
                <c:formatCode>General</c:formatCode>
                <c:ptCount val="3"/>
                <c:pt idx="0">
                  <c:v>23</c:v>
                </c:pt>
                <c:pt idx="1">
                  <c:v>482</c:v>
                </c:pt>
                <c:pt idx="2">
                  <c:v>95</c:v>
                </c:pt>
              </c:numCache>
            </c:numRef>
          </c:val>
          <c:extLst>
            <c:ext xmlns:c16="http://schemas.microsoft.com/office/drawing/2014/chart" uri="{C3380CC4-5D6E-409C-BE32-E72D297353CC}">
              <c16:uniqueId val="{00000000-9B7C-4246-BD59-6F064F35D2E5}"/>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4830316274843331"/>
          <c:y val="2.5227471566054253E-2"/>
          <c:w val="0.12049697520557734"/>
          <c:h val="0.23203305516297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[Client_Project_002_Procurement_Dataset - 3-Data Analysis Report.xlsx]On-Time 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Supplier vs Average of On-Time</a:t>
            </a:r>
            <a:r>
              <a:rPr lang="en-US" b="1" baseline="0">
                <a:solidFill>
                  <a:sysClr val="windowText" lastClr="000000"/>
                </a:solidFill>
              </a:rPr>
              <a:t>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'On-Time Analysis'!$B$3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'On-Time Analysis'!$A$4:$A$10</c:f>
              <c:strCache>
                <c:ptCount val="6"/>
                <c:pt idx="0">
                  <c:v>Alpha</c:v>
                </c:pt>
                <c:pt idx="1">
                  <c:v>Beta</c:v>
                </c:pt>
                <c:pt idx="2">
                  <c:v>Delta</c:v>
                </c:pt>
                <c:pt idx="3">
                  <c:v>Gamma</c:v>
                </c:pt>
                <c:pt idx="4">
                  <c:v>Omega</c:v>
                </c:pt>
                <c:pt idx="5">
                  <c:v>Prime</c:v>
                </c:pt>
              </c:strCache>
            </c:strRef>
          </c:cat>
          <c:val>
            <c:numRef>
              <c:f>'On-Time Analysis'!$B$4:$B$10</c:f>
              <c:numCache>
                <c:formatCode>General</c:formatCode>
                <c:ptCount val="6"/>
                <c:pt idx="0">
                  <c:v>84.933333333333337</c:v>
                </c:pt>
                <c:pt idx="1">
                  <c:v>84.483146067415731</c:v>
                </c:pt>
                <c:pt idx="2">
                  <c:v>85.127906976744185</c:v>
                </c:pt>
                <c:pt idx="3">
                  <c:v>84.034482758620683</c:v>
                </c:pt>
                <c:pt idx="4">
                  <c:v>84.574257425742573</c:v>
                </c:pt>
                <c:pt idx="5">
                  <c:v>85.757281553398059</c:v>
                </c:pt>
              </c:numCache>
            </c:numRef>
          </c:val>
          <c:extLst>
            <c:ext xmlns:c16="http://schemas.microsoft.com/office/drawing/2014/chart" uri="{C3380CC4-5D6E-409C-BE32-E72D297353CC}">
              <c16:uniqueId val="{00000000-689F-4908-BB9D-474507669F26}"/>
            </c:ext>
          </c:extLst>
        </c:ser>
        <c:dLbls>
          <c:dLblPos val="outEnd"/>
          <c:showLegendKey val="0"/>
          <c:showVal val="1"/>
          <c:showCatName val="0"/>
          <c:showSerName val="0"/>
          <c:showPercent val="0"/>
          <c:showBubbleSize val="0"/>
        </c:dLbls>
        <c:gapWidth val="219"/>
        <c:overlap val="-27"/>
        <c:axId val="617130319"/>
        <c:axId val="627759743"/>
      </c:barChart>
      <c:catAx>
        <c:axId val="61713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7759743"/>
        <c:crosses val="autoZero"/>
        <c:auto val="1"/>
        <c:lblAlgn val="ctr"/>
        <c:lblOffset val="100"/>
        <c:noMultiLvlLbl val="0"/>
      </c:catAx>
      <c:valAx>
        <c:axId val="62775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30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[Client_Project_002_Procurement_Dataset - 3-Data Analysis Report.xlsx]Quality 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Supplier</a:t>
            </a:r>
            <a:r>
              <a:rPr lang="en-US" sz="1200" b="1" baseline="0"/>
              <a:t> vs Average of Quality</a:t>
            </a:r>
            <a:endParaRPr lang="en-US" sz="1200" b="1"/>
          </a:p>
        </c:rich>
      </c:tx>
      <c:layout>
        <c:manualLayout>
          <c:xMode val="edge"/>
          <c:yMode val="edge"/>
          <c:x val="0.30250000000000005"/>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'Quality Analysis'!$B$3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Analysis'!$A$4:$A$10</c:f>
              <c:strCache>
                <c:ptCount val="6"/>
                <c:pt idx="0">
                  <c:v>Alpha</c:v>
                </c:pt>
                <c:pt idx="1">
                  <c:v>Beta</c:v>
                </c:pt>
                <c:pt idx="2">
                  <c:v>Delta</c:v>
                </c:pt>
                <c:pt idx="3">
                  <c:v>Gamma</c:v>
                </c:pt>
                <c:pt idx="4">
                  <c:v>Omega</c:v>
                </c:pt>
                <c:pt idx="5">
                  <c:v>Prime</c:v>
                </c:pt>
              </c:strCache>
            </c:strRef>
          </c:cat>
          <c:val>
            <c:numRef>
              <c:f>'Quality Analysis'!$B$4:$B$10</c:f>
              <c:numCache>
                <c:formatCode>General</c:formatCode>
                <c:ptCount val="6"/>
                <c:pt idx="0">
                  <c:v>3.4</c:v>
                </c:pt>
                <c:pt idx="1">
                  <c:v>3.5730337078651684</c:v>
                </c:pt>
                <c:pt idx="2">
                  <c:v>3.4534883720930232</c:v>
                </c:pt>
                <c:pt idx="3">
                  <c:v>3.5172413793103448</c:v>
                </c:pt>
                <c:pt idx="4">
                  <c:v>3.613861386138614</c:v>
                </c:pt>
                <c:pt idx="5">
                  <c:v>3.3300970873786406</c:v>
                </c:pt>
              </c:numCache>
            </c:numRef>
          </c:val>
          <c:extLst>
            <c:ext xmlns:c16="http://schemas.microsoft.com/office/drawing/2014/chart" uri="{C3380CC4-5D6E-409C-BE32-E72D297353CC}">
              <c16:uniqueId val="{00000000-25B0-4CB6-9C38-362B10928445}"/>
            </c:ext>
          </c:extLst>
        </c:ser>
        <c:dLbls>
          <c:dLblPos val="outEnd"/>
          <c:showLegendKey val="0"/>
          <c:showVal val="1"/>
          <c:showCatName val="0"/>
          <c:showSerName val="0"/>
          <c:showPercent val="0"/>
          <c:showBubbleSize val="0"/>
        </c:dLbls>
        <c:gapWidth val="219"/>
        <c:overlap val="-27"/>
        <c:axId val="698213263"/>
        <c:axId val="698213743"/>
      </c:barChart>
      <c:catAx>
        <c:axId val="69821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8213743"/>
        <c:crosses val="autoZero"/>
        <c:auto val="1"/>
        <c:lblAlgn val="ctr"/>
        <c:lblOffset val="100"/>
        <c:noMultiLvlLbl val="0"/>
      </c:catAx>
      <c:valAx>
        <c:axId val="69821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1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[Client_Project_002_Procurement_Dataset - 3-Data Analysis Report.xlsx]Lead Days 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Supplier vs Average</a:t>
            </a:r>
            <a:r>
              <a:rPr lang="en-US" sz="1200" b="1" baseline="0">
                <a:solidFill>
                  <a:sysClr val="windowText" lastClr="000000"/>
                </a:solidFill>
              </a:rPr>
              <a:t> of Lead Days</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'Lead Days Analysis'!$B$3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Days Analysis'!$A$4:$A$10</c:f>
              <c:strCache>
                <c:ptCount val="6"/>
                <c:pt idx="0">
                  <c:v>Alpha</c:v>
                </c:pt>
                <c:pt idx="1">
                  <c:v>Beta</c:v>
                </c:pt>
                <c:pt idx="2">
                  <c:v>Delta</c:v>
                </c:pt>
                <c:pt idx="3">
                  <c:v>Gamma</c:v>
                </c:pt>
                <c:pt idx="4">
                  <c:v>Omega</c:v>
                </c:pt>
                <c:pt idx="5">
                  <c:v>Prime</c:v>
                </c:pt>
              </c:strCache>
            </c:strRef>
          </c:cat>
          <c:val>
            <c:numRef>
              <c:f>'Lead Days Analysis'!$B$4:$B$10</c:f>
              <c:numCache>
                <c:formatCode>General</c:formatCode>
                <c:ptCount val="6"/>
                <c:pt idx="0">
                  <c:v>10.847619047619048</c:v>
                </c:pt>
                <c:pt idx="1">
                  <c:v>10.269662921348315</c:v>
                </c:pt>
                <c:pt idx="2">
                  <c:v>10.081395348837209</c:v>
                </c:pt>
                <c:pt idx="3">
                  <c:v>11.275862068965518</c:v>
                </c:pt>
                <c:pt idx="4">
                  <c:v>11.772277227722773</c:v>
                </c:pt>
                <c:pt idx="5">
                  <c:v>12.058252427184467</c:v>
                </c:pt>
              </c:numCache>
            </c:numRef>
          </c:val>
          <c:extLst>
            <c:ext xmlns:c16="http://schemas.microsoft.com/office/drawing/2014/chart" uri="{C3380CC4-5D6E-409C-BE32-E72D297353CC}">
              <c16:uniqueId val="{00000000-0AFF-4198-ADB3-74DD07489D5A}"/>
            </c:ext>
          </c:extLst>
        </c:ser>
        <c:dLbls>
          <c:dLblPos val="outEnd"/>
          <c:showLegendKey val="0"/>
          <c:showVal val="1"/>
          <c:showCatName val="0"/>
          <c:showSerName val="0"/>
          <c:showPercent val="0"/>
          <c:showBubbleSize val="0"/>
        </c:dLbls>
        <c:gapWidth val="219"/>
        <c:overlap val="-27"/>
        <c:axId val="793627743"/>
        <c:axId val="793623903"/>
      </c:barChart>
      <c:catAx>
        <c:axId val="79362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3623903"/>
        <c:crosses val="autoZero"/>
        <c:auto val="1"/>
        <c:lblAlgn val="ctr"/>
        <c:lblOffset val="100"/>
        <c:noMultiLvlLbl val="0"/>
      </c:catAx>
      <c:valAx>
        <c:axId val="79362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627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[Client_Project_002_Procurement_Dataset - 3-Data Analysis Report.xlsx]PO Status Detailed 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Supplier vs PO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 Status Detailed Analysis'!$B$3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'PO Status Detailed Analysis'!$A$4:$A$28</c:f>
              <c:multiLvlStrCache>
                <c:ptCount val="18"/>
                <c:lvl>
                  <c:pt idx="0">
                    <c:v>Cancelled</c:v>
                  </c:pt>
                  <c:pt idx="1">
                    <c:v>Completed</c:v>
                  </c:pt>
                  <c:pt idx="2">
                    <c:v>Pending</c:v>
                  </c:pt>
                  <c:pt idx="3">
                    <c:v>Cancelled</c:v>
                  </c:pt>
                  <c:pt idx="4">
                    <c:v>Completed</c:v>
                  </c:pt>
                  <c:pt idx="5">
                    <c:v>Pending</c:v>
                  </c:pt>
                  <c:pt idx="6">
                    <c:v>Cancelled</c:v>
                  </c:pt>
                  <c:pt idx="7">
                    <c:v>Completed</c:v>
                  </c:pt>
                  <c:pt idx="8">
                    <c:v>Pending</c:v>
                  </c:pt>
                  <c:pt idx="9">
                    <c:v>Cancelled</c:v>
                  </c:pt>
                  <c:pt idx="10">
                    <c:v>Completed</c:v>
                  </c:pt>
                  <c:pt idx="11">
                    <c:v>Pending</c:v>
                  </c:pt>
                  <c:pt idx="12">
                    <c:v>Cancelled</c:v>
                  </c:pt>
                  <c:pt idx="13">
                    <c:v>Completed</c:v>
                  </c:pt>
                  <c:pt idx="14">
                    <c:v>Pending</c:v>
                  </c:pt>
                  <c:pt idx="15">
                    <c:v>Cancelled</c:v>
                  </c:pt>
                  <c:pt idx="16">
                    <c:v>Completed</c:v>
                  </c:pt>
                  <c:pt idx="17">
                    <c:v>Pending</c:v>
                  </c:pt>
                </c:lvl>
                <c:lvl>
                  <c:pt idx="0">
                    <c:v>Alpha</c:v>
                  </c:pt>
                  <c:pt idx="3">
                    <c:v>Beta</c:v>
                  </c:pt>
                  <c:pt idx="6">
                    <c:v>Delta</c:v>
                  </c:pt>
                  <c:pt idx="9">
                    <c:v>Gamma</c:v>
                  </c:pt>
                  <c:pt idx="12">
                    <c:v>Omega</c:v>
                  </c:pt>
                  <c:pt idx="15">
                    <c:v>Prime</c:v>
                  </c:pt>
                </c:lvl>
              </c:multiLvlStrCache>
            </c:multiLvlStrRef>
          </c:cat>
          <c:val>
            <c:numRef>
              <c:f>'PO Status Detailed Analysis'!$B$4:$B$28</c:f>
              <c:numCache>
                <c:formatCode>General</c:formatCode>
                <c:ptCount val="18"/>
                <c:pt idx="0">
                  <c:v>6</c:v>
                </c:pt>
                <c:pt idx="1">
                  <c:v>90</c:v>
                </c:pt>
                <c:pt idx="2">
                  <c:v>9</c:v>
                </c:pt>
                <c:pt idx="3">
                  <c:v>1</c:v>
                </c:pt>
                <c:pt idx="4">
                  <c:v>78</c:v>
                </c:pt>
                <c:pt idx="5">
                  <c:v>10</c:v>
                </c:pt>
                <c:pt idx="6">
                  <c:v>5</c:v>
                </c:pt>
                <c:pt idx="7">
                  <c:v>61</c:v>
                </c:pt>
                <c:pt idx="8">
                  <c:v>20</c:v>
                </c:pt>
                <c:pt idx="9">
                  <c:v>8</c:v>
                </c:pt>
                <c:pt idx="10">
                  <c:v>92</c:v>
                </c:pt>
                <c:pt idx="11">
                  <c:v>16</c:v>
                </c:pt>
                <c:pt idx="12">
                  <c:v>1</c:v>
                </c:pt>
                <c:pt idx="13">
                  <c:v>83</c:v>
                </c:pt>
                <c:pt idx="14">
                  <c:v>17</c:v>
                </c:pt>
                <c:pt idx="15">
                  <c:v>2</c:v>
                </c:pt>
                <c:pt idx="16">
                  <c:v>78</c:v>
                </c:pt>
                <c:pt idx="17">
                  <c:v>23</c:v>
                </c:pt>
              </c:numCache>
            </c:numRef>
          </c:val>
          <c:extLst>
            <c:ext xmlns:c16="http://schemas.microsoft.com/office/drawing/2014/chart" uri="{C3380CC4-5D6E-409C-BE32-E72D297353CC}">
              <c16:uniqueId val="{00000000-DC07-4348-8A18-F1B1C69602C6}"/>
            </c:ext>
          </c:extLst>
        </c:ser>
        <c:dLbls>
          <c:dLblPos val="outEnd"/>
          <c:showLegendKey val="0"/>
          <c:showVal val="1"/>
          <c:showCatName val="0"/>
          <c:showSerName val="0"/>
          <c:showPercent val="0"/>
          <c:showBubbleSize val="0"/>
        </c:dLbls>
        <c:gapWidth val="219"/>
        <c:overlap val="-27"/>
        <c:axId val="380359887"/>
        <c:axId val="380357967"/>
      </c:barChart>
      <c:catAx>
        <c:axId val="38035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80357967"/>
        <c:crosses val="autoZero"/>
        <c:auto val="1"/>
        <c:lblAlgn val="ctr"/>
        <c:lblOffset val="100"/>
        <c:noMultiLvlLbl val="0"/>
      </c:catAx>
      <c:valAx>
        <c:axId val="38035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8035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[Client_Project_002_Procurement_Dataset - 3-Data Analysis Report.xlsx]Supplier vs Spend!PivotTable1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Supplier</a:t>
            </a:r>
            <a:r>
              <a:rPr lang="en-US" sz="1200" b="1" baseline="0">
                <a:solidFill>
                  <a:sysClr val="windowText" lastClr="000000"/>
                </a:solidFill>
              </a:rPr>
              <a:t> vs Spend</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vs Spend'!$B$3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vs Spend'!$A$4:$A$10</c:f>
              <c:strCache>
                <c:ptCount val="6"/>
                <c:pt idx="0">
                  <c:v>Delta</c:v>
                </c:pt>
                <c:pt idx="1">
                  <c:v>Beta</c:v>
                </c:pt>
                <c:pt idx="2">
                  <c:v>Gamma</c:v>
                </c:pt>
                <c:pt idx="3">
                  <c:v>Omega</c:v>
                </c:pt>
                <c:pt idx="4">
                  <c:v>Alpha</c:v>
                </c:pt>
                <c:pt idx="5">
                  <c:v>Prime</c:v>
                </c:pt>
              </c:strCache>
            </c:strRef>
          </c:cat>
          <c:val>
            <c:numRef>
              <c:f>'Supplier vs Spend'!$B$4:$B$10</c:f>
              <c:numCache>
                <c:formatCode>_(* #,##0_);_(* \(#,##0\);_(* "-"??_);_(@_)</c:formatCode>
                <c:ptCount val="6"/>
                <c:pt idx="0">
                  <c:v>220915</c:v>
                </c:pt>
                <c:pt idx="1">
                  <c:v>280125</c:v>
                </c:pt>
                <c:pt idx="2">
                  <c:v>302310</c:v>
                </c:pt>
                <c:pt idx="3">
                  <c:v>379660</c:v>
                </c:pt>
                <c:pt idx="4">
                  <c:v>433060</c:v>
                </c:pt>
                <c:pt idx="5">
                  <c:v>487595</c:v>
                </c:pt>
              </c:numCache>
            </c:numRef>
          </c:val>
          <c:extLst>
            <c:ext xmlns:c16="http://schemas.microsoft.com/office/drawing/2014/chart" uri="{C3380CC4-5D6E-409C-BE32-E72D297353CC}">
              <c16:uniqueId val="{00000000-9DD4-493F-A1F6-68AE6D449CCB}"/>
            </c:ext>
          </c:extLst>
        </c:ser>
        <c:dLbls>
          <c:dLblPos val="outEnd"/>
          <c:showLegendKey val="0"/>
          <c:showVal val="1"/>
          <c:showCatName val="0"/>
          <c:showSerName val="0"/>
          <c:showPercent val="0"/>
          <c:showBubbleSize val="0"/>
        </c:dLbls>
        <c:gapWidth val="219"/>
        <c:overlap val="-27"/>
        <c:axId val="1760012191"/>
        <c:axId val="1760014111"/>
      </c:barChart>
      <c:catAx>
        <c:axId val="176001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0014111"/>
        <c:crosses val="autoZero"/>
        <c:auto val="1"/>
        <c:lblAlgn val="ctr"/>
        <c:lblOffset val="100"/>
        <c:noMultiLvlLbl val="0"/>
      </c:catAx>
      <c:valAx>
        <c:axId val="176001411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01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[Client_Project_002_Procurement_Dataset - 3-Data Analysis Report.xlsx]Category vs Spend!PivotTable2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Category vs Spend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vs Spend'!$B$3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3C7-4687-9C60-3B64C46787A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3C7-4687-9C60-3B64C46787A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3C7-4687-9C60-3B64C46787A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3C7-4687-9C60-3B64C46787A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3C7-4687-9C60-3B64C46787A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vs Spend'!$A$4:$A$9</c:f>
              <c:strCache>
                <c:ptCount val="5"/>
                <c:pt idx="0">
                  <c:v>Raw Materials</c:v>
                </c:pt>
                <c:pt idx="1">
                  <c:v>Logistics</c:v>
                </c:pt>
                <c:pt idx="2">
                  <c:v>MRO</c:v>
                </c:pt>
                <c:pt idx="3">
                  <c:v>IT</c:v>
                </c:pt>
                <c:pt idx="4">
                  <c:v>Packaging</c:v>
                </c:pt>
              </c:strCache>
            </c:strRef>
          </c:cat>
          <c:val>
            <c:numRef>
              <c:f>'Category vs Spend'!$B$4:$B$9</c:f>
              <c:numCache>
                <c:formatCode>_(* #,##0_);_(* \(#,##0\);_(* "-"??_);_(@_)</c:formatCode>
                <c:ptCount val="5"/>
                <c:pt idx="0">
                  <c:v>352965</c:v>
                </c:pt>
                <c:pt idx="1">
                  <c:v>363920</c:v>
                </c:pt>
                <c:pt idx="2">
                  <c:v>425570</c:v>
                </c:pt>
                <c:pt idx="3">
                  <c:v>449905</c:v>
                </c:pt>
                <c:pt idx="4">
                  <c:v>511305</c:v>
                </c:pt>
              </c:numCache>
            </c:numRef>
          </c:val>
          <c:extLst>
            <c:ext xmlns:c16="http://schemas.microsoft.com/office/drawing/2014/chart" uri="{C3380CC4-5D6E-409C-BE32-E72D297353CC}">
              <c16:uniqueId val="{0000000A-63C7-4687-9C60-3B64C46787A0}"/>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79818941382327224"/>
          <c:y val="1.9732429279673346E-2"/>
          <c:w val="0.15234429357747603"/>
          <c:h val="0.352226204096282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[Client_Project_002_Procurement_Dataset - 3-Data Analysis Report.xlsx]Department vs Spend!PivotTable3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Department</a:t>
            </a:r>
            <a:r>
              <a:rPr lang="en-US" sz="1200" b="1" baseline="0">
                <a:solidFill>
                  <a:sysClr val="windowText" lastClr="000000"/>
                </a:solidFill>
              </a:rPr>
              <a:t> vs Spend</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vs Spend'!$B$3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vs Spend'!$A$4:$A$10</c:f>
              <c:strCache>
                <c:ptCount val="6"/>
                <c:pt idx="0">
                  <c:v>Admin</c:v>
                </c:pt>
                <c:pt idx="1">
                  <c:v>Department not found</c:v>
                </c:pt>
                <c:pt idx="2">
                  <c:v>IT</c:v>
                </c:pt>
                <c:pt idx="3">
                  <c:v>Maintenance</c:v>
                </c:pt>
                <c:pt idx="4">
                  <c:v>Production</c:v>
                </c:pt>
                <c:pt idx="5">
                  <c:v>Warehouse</c:v>
                </c:pt>
              </c:strCache>
            </c:strRef>
          </c:cat>
          <c:val>
            <c:numRef>
              <c:f>'Department vs Spend'!$B$4:$B$10</c:f>
              <c:numCache>
                <c:formatCode>_(* #,##0_);_(* \(#,##0\);_(* "-"??_);_(@_)</c:formatCode>
                <c:ptCount val="6"/>
                <c:pt idx="0">
                  <c:v>488070</c:v>
                </c:pt>
                <c:pt idx="1">
                  <c:v>330</c:v>
                </c:pt>
                <c:pt idx="2">
                  <c:v>425020</c:v>
                </c:pt>
                <c:pt idx="3">
                  <c:v>393230</c:v>
                </c:pt>
                <c:pt idx="4">
                  <c:v>475225</c:v>
                </c:pt>
                <c:pt idx="5">
                  <c:v>321790</c:v>
                </c:pt>
              </c:numCache>
            </c:numRef>
          </c:val>
          <c:extLst>
            <c:ext xmlns:c16="http://schemas.microsoft.com/office/drawing/2014/chart" uri="{C3380CC4-5D6E-409C-BE32-E72D297353CC}">
              <c16:uniqueId val="{00000000-146E-4FEA-9B3F-1E05AF90A19C}"/>
            </c:ext>
          </c:extLst>
        </c:ser>
        <c:dLbls>
          <c:dLblPos val="outEnd"/>
          <c:showLegendKey val="0"/>
          <c:showVal val="1"/>
          <c:showCatName val="0"/>
          <c:showSerName val="0"/>
          <c:showPercent val="0"/>
          <c:showBubbleSize val="0"/>
        </c:dLbls>
        <c:gapWidth val="219"/>
        <c:overlap val="-27"/>
        <c:axId val="1852603327"/>
        <c:axId val="1852595167"/>
      </c:barChart>
      <c:catAx>
        <c:axId val="185260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2595167"/>
        <c:crosses val="autoZero"/>
        <c:auto val="1"/>
        <c:lblAlgn val="ctr"/>
        <c:lblOffset val="100"/>
        <c:noMultiLvlLbl val="0"/>
      </c:catAx>
      <c:valAx>
        <c:axId val="185259516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603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[Client_Project_002_Procurement_Dataset - 3-Data Analysis Report.xlsx]Item vs Spend!PivotTable4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Item vs Spend</a:t>
            </a:r>
          </a:p>
        </c:rich>
      </c:tx>
      <c:layout>
        <c:manualLayout>
          <c:xMode val="edge"/>
          <c:yMode val="edge"/>
          <c:x val="0.33068744531933508"/>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'Item vs Spend'!$B$3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23C-457D-943E-EFD9A5FD4B5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23C-457D-943E-EFD9A5FD4B5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23C-457D-943E-EFD9A5FD4B5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23C-457D-943E-EFD9A5FD4B5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23C-457D-943E-EFD9A5FD4B5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'Item vs Spend'!$A$4:$A$9</c:f>
              <c:strCache>
                <c:ptCount val="5"/>
                <c:pt idx="0">
                  <c:v>Bearings</c:v>
                </c:pt>
                <c:pt idx="1">
                  <c:v>Boxes</c:v>
                </c:pt>
                <c:pt idx="2">
                  <c:v>Freight</c:v>
                </c:pt>
                <c:pt idx="3">
                  <c:v>Laptop</c:v>
                </c:pt>
                <c:pt idx="4">
                  <c:v>Steel</c:v>
                </c:pt>
              </c:strCache>
            </c:strRef>
          </c:cat>
          <c:val>
            <c:numRef>
              <c:f>'Item vs Spend'!$B$4:$B$9</c:f>
              <c:numCache>
                <c:formatCode>_(* #,##0.00_);_(* \(#,##0.00\);_(* "-"??_);_(@_)</c:formatCode>
                <c:ptCount val="5"/>
                <c:pt idx="0">
                  <c:v>433500</c:v>
                </c:pt>
                <c:pt idx="1">
                  <c:v>390540</c:v>
                </c:pt>
                <c:pt idx="2">
                  <c:v>369150</c:v>
                </c:pt>
                <c:pt idx="3">
                  <c:v>576855</c:v>
                </c:pt>
                <c:pt idx="4">
                  <c:v>333620</c:v>
                </c:pt>
              </c:numCache>
            </c:numRef>
          </c:val>
          <c:extLst>
            <c:ext xmlns:c16="http://schemas.microsoft.com/office/drawing/2014/chart" uri="{C3380CC4-5D6E-409C-BE32-E72D297353CC}">
              <c16:uniqueId val="{0000000A-723C-457D-943E-EFD9A5FD4B58}"/>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85899540682414699"/>
          <c:y val="2.4362058909302976E-2"/>
          <c:w val="0.11916337620554029"/>
          <c:h val="0.39248062742157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[Client_Project_002_Procurement_Dataset - 3-Data Analysis Report.xlsx]PO Status 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PO Status Analysis</a:t>
            </a:r>
          </a:p>
        </c:rich>
      </c:tx>
      <c:layout>
        <c:manualLayout>
          <c:xMode val="edge"/>
          <c:yMode val="edge"/>
          <c:x val="0.30472220472440942"/>
          <c:y val="4.99050859748399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9.8000000000000004E-2"/>
              <c:y val="4.10526392348477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2"/>
              <c:y val="-0.126578970974113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4.8000000000000036E-2"/>
              <c:y val="2.39473728869945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'PO Status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20-4608-8A4F-6654D4345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20-4608-8A4F-6654D43457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20-4608-8A4F-6654D4345724}"/>
              </c:ext>
            </c:extLst>
          </c:dPt>
          <c:dLbls>
            <c:dLbl>
              <c:idx val="0"/>
              <c:layout>
                <c:manualLayout>
                  <c:x val="9.8000000000000004E-2"/>
                  <c:y val="4.105263923484776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20-4608-8A4F-6654D4345724}"/>
                </c:ext>
              </c:extLst>
            </c:dLbl>
            <c:dLbl>
              <c:idx val="1"/>
              <c:layout>
                <c:manualLayout>
                  <c:x val="0.112"/>
                  <c:y val="-0.1265789709741139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20-4608-8A4F-6654D4345724}"/>
                </c:ext>
              </c:extLst>
            </c:dLbl>
            <c:dLbl>
              <c:idx val="2"/>
              <c:layout>
                <c:manualLayout>
                  <c:x val="-4.8000000000000036E-2"/>
                  <c:y val="2.394737288699452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20-4608-8A4F-6654D434572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 Status Analysis'!$A$4:$A$7</c:f>
              <c:strCache>
                <c:ptCount val="3"/>
                <c:pt idx="0">
                  <c:v>Cancelled</c:v>
                </c:pt>
                <c:pt idx="1">
                  <c:v>Completed</c:v>
                </c:pt>
                <c:pt idx="2">
                  <c:v>Pending</c:v>
                </c:pt>
              </c:strCache>
            </c:strRef>
          </c:cat>
          <c:val>
            <c:numRef>
              <c:f>'PO Status Analysis'!$B$4:$B$7</c:f>
              <c:numCache>
                <c:formatCode>General</c:formatCode>
                <c:ptCount val="3"/>
                <c:pt idx="0">
                  <c:v>23</c:v>
                </c:pt>
                <c:pt idx="1">
                  <c:v>482</c:v>
                </c:pt>
                <c:pt idx="2">
                  <c:v>95</c:v>
                </c:pt>
              </c:numCache>
            </c:numRef>
          </c:val>
          <c:extLst>
            <c:ext xmlns:c16="http://schemas.microsoft.com/office/drawing/2014/chart" uri="{C3380CC4-5D6E-409C-BE32-E72D297353CC}">
              <c16:uniqueId val="{00000006-E120-4608-8A4F-6654D4345724}"/>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4830316274843331"/>
          <c:y val="2.5227471566054253E-2"/>
          <c:w val="0.12049697520557734"/>
          <c:h val="0.23203305516297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[Client_Project_002_Procurement_Dataset - 3-Data Analysis Report.xlsx]On-Time Analysis!PivotTable2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Supplier vs Average of On-Time</a:t>
            </a:r>
            <a:r>
              <a:rPr lang="en-US" b="1" baseline="0">
                <a:solidFill>
                  <a:sysClr val="windowText" lastClr="000000"/>
                </a:solidFill>
              </a:rPr>
              <a:t>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'On-Time Analysis'!$B$3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'On-Time Analysis'!$A$4:$A$10</c:f>
              <c:strCache>
                <c:ptCount val="6"/>
                <c:pt idx="0">
                  <c:v>Alpha</c:v>
                </c:pt>
                <c:pt idx="1">
                  <c:v>Beta</c:v>
                </c:pt>
                <c:pt idx="2">
                  <c:v>Delta</c:v>
                </c:pt>
                <c:pt idx="3">
                  <c:v>Gamma</c:v>
                </c:pt>
                <c:pt idx="4">
                  <c:v>Omega</c:v>
                </c:pt>
                <c:pt idx="5">
                  <c:v>Prime</c:v>
                </c:pt>
              </c:strCache>
            </c:strRef>
          </c:cat>
          <c:val>
            <c:numRef>
              <c:f>'On-Time Analysis'!$B$4:$B$10</c:f>
              <c:numCache>
                <c:formatCode>General</c:formatCode>
                <c:ptCount val="6"/>
                <c:pt idx="0">
                  <c:v>84.933333333333337</c:v>
                </c:pt>
                <c:pt idx="1">
                  <c:v>84.483146067415731</c:v>
                </c:pt>
                <c:pt idx="2">
                  <c:v>85.127906976744185</c:v>
                </c:pt>
                <c:pt idx="3">
                  <c:v>84.034482758620683</c:v>
                </c:pt>
                <c:pt idx="4">
                  <c:v>84.574257425742573</c:v>
                </c:pt>
                <c:pt idx="5">
                  <c:v>85.757281553398059</c:v>
                </c:pt>
              </c:numCache>
            </c:numRef>
          </c:val>
          <c:extLst>
            <c:ext xmlns:c16="http://schemas.microsoft.com/office/drawing/2014/chart" uri="{C3380CC4-5D6E-409C-BE32-E72D297353CC}">
              <c16:uniqueId val="{00000000-364F-4D78-A44A-7FE8C27E3D3A}"/>
            </c:ext>
          </c:extLst>
        </c:ser>
        <c:dLbls>
          <c:dLblPos val="outEnd"/>
          <c:showLegendKey val="0"/>
          <c:showVal val="1"/>
          <c:showCatName val="0"/>
          <c:showSerName val="0"/>
          <c:showPercent val="0"/>
          <c:showBubbleSize val="0"/>
        </c:dLbls>
        <c:gapWidth val="219"/>
        <c:overlap val="-27"/>
        <c:axId val="617130319"/>
        <c:axId val="627759743"/>
      </c:barChart>
      <c:catAx>
        <c:axId val="61713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7759743"/>
        <c:crosses val="autoZero"/>
        <c:auto val="1"/>
        <c:lblAlgn val="ctr"/>
        <c:lblOffset val="100"/>
        <c:noMultiLvlLbl val="0"/>
      </c:catAx>
      <c:valAx>
        <c:axId val="62775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30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[Client_Project_002_Procurement_Dataset - 3-Data Analysis Report.xlsx]Quality Analysis!PivotTable3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Supplier</a:t>
            </a:r>
            <a:r>
              <a:rPr lang="en-US" sz="1200" b="1" baseline="0"/>
              <a:t> vs Average of Quality</a:t>
            </a:r>
            <a:endParaRPr lang="en-US" sz="1200" b="1"/>
          </a:p>
        </c:rich>
      </c:tx>
      <c:layout>
        <c:manualLayout>
          <c:xMode val="edge"/>
          <c:yMode val="edge"/>
          <c:x val="0.30250000000000005"/>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'Quality Analysis'!$B$3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'Quality Analysis'!$A$4:$A$10</c:f>
              <c:strCache>
                <c:ptCount val="6"/>
                <c:pt idx="0">
                  <c:v>Alpha</c:v>
                </c:pt>
                <c:pt idx="1">
                  <c:v>Beta</c:v>
                </c:pt>
                <c:pt idx="2">
                  <c:v>Delta</c:v>
                </c:pt>
                <c:pt idx="3">
                  <c:v>Gamma</c:v>
                </c:pt>
                <c:pt idx="4">
                  <c:v>Omega</c:v>
                </c:pt>
                <c:pt idx="5">
                  <c:v>Prime</c:v>
                </c:pt>
              </c:strCache>
            </c:strRef>
          </c:cat>
          <c:val>
            <c:numRef>
              <c:f>'Quality Analysis'!$B$4:$B$10</c:f>
              <c:numCache>
                <c:formatCode>General</c:formatCode>
                <c:ptCount val="6"/>
                <c:pt idx="0">
                  <c:v>3.4</c:v>
                </c:pt>
                <c:pt idx="1">
                  <c:v>3.5730337078651684</c:v>
                </c:pt>
                <c:pt idx="2">
                  <c:v>3.4534883720930232</c:v>
                </c:pt>
                <c:pt idx="3">
                  <c:v>3.5172413793103448</c:v>
                </c:pt>
                <c:pt idx="4">
                  <c:v>3.613861386138614</c:v>
                </c:pt>
                <c:pt idx="5">
                  <c:v>3.3300970873786406</c:v>
                </c:pt>
              </c:numCache>
            </c:numRef>
          </c:val>
          <c:extLst>
            <c:ext xmlns:c16="http://schemas.microsoft.com/office/drawing/2014/chart" uri="{C3380CC4-5D6E-409C-BE32-E72D297353CC}">
              <c16:uniqueId val="{00000000-8427-477C-A886-8D8197A0E30A}"/>
            </c:ext>
          </c:extLst>
        </c:ser>
        <c:dLbls>
          <c:dLblPos val="outEnd"/>
          <c:showLegendKey val="0"/>
          <c:showVal val="1"/>
          <c:showCatName val="0"/>
          <c:showSerName val="0"/>
          <c:showPercent val="0"/>
          <c:showBubbleSize val="0"/>
        </c:dLbls>
        <c:gapWidth val="219"/>
        <c:overlap val="-27"/>
        <c:axId val="698213263"/>
        <c:axId val="698213743"/>
      </c:barChart>
      <c:catAx>
        <c:axId val="69821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8213743"/>
        <c:crosses val="autoZero"/>
        <c:auto val="1"/>
        <c:lblAlgn val="ctr"/>
        <c:lblOffset val="100"/>
        <c:noMultiLvlLbl val="0"/>
      </c:catAx>
      <c:valAx>
        <c:axId val="69821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21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[Client_Project_002_Procurement_Dataset - 3-Data Analysis Report.xlsx]Lead Days 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Supplier vs Average</a:t>
            </a:r>
            <a:r>
              <a:rPr lang="en-US" sz="1200" b="1" baseline="0">
                <a:solidFill>
                  <a:sysClr val="windowText" lastClr="000000"/>
                </a:solidFill>
              </a:rPr>
              <a:t> of Lead Days</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'Lead Days Analysis'!$B$3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 Days Analysis'!$A$4:$A$10</c:f>
              <c:strCache>
                <c:ptCount val="6"/>
                <c:pt idx="0">
                  <c:v>Alpha</c:v>
                </c:pt>
                <c:pt idx="1">
                  <c:v>Beta</c:v>
                </c:pt>
                <c:pt idx="2">
                  <c:v>Delta</c:v>
                </c:pt>
                <c:pt idx="3">
                  <c:v>Gamma</c:v>
                </c:pt>
                <c:pt idx="4">
                  <c:v>Omega</c:v>
                </c:pt>
                <c:pt idx="5">
                  <c:v>Prime</c:v>
                </c:pt>
              </c:strCache>
            </c:strRef>
          </c:cat>
          <c:val>
            <c:numRef>
              <c:f>'Lead Days Analysis'!$B$4:$B$10</c:f>
              <c:numCache>
                <c:formatCode>General</c:formatCode>
                <c:ptCount val="6"/>
                <c:pt idx="0">
                  <c:v>10.847619047619048</c:v>
                </c:pt>
                <c:pt idx="1">
                  <c:v>10.269662921348315</c:v>
                </c:pt>
                <c:pt idx="2">
                  <c:v>10.081395348837209</c:v>
                </c:pt>
                <c:pt idx="3">
                  <c:v>11.275862068965518</c:v>
                </c:pt>
                <c:pt idx="4">
                  <c:v>11.772277227722773</c:v>
                </c:pt>
                <c:pt idx="5">
                  <c:v>12.058252427184467</c:v>
                </c:pt>
              </c:numCache>
            </c:numRef>
          </c:val>
          <c:extLst>
            <c:ext xmlns:c16="http://schemas.microsoft.com/office/drawing/2014/chart" uri="{C3380CC4-5D6E-409C-BE32-E72D297353CC}">
              <c16:uniqueId val="{00000000-026A-4A4A-BA26-D5F3B9CA7693}"/>
            </c:ext>
          </c:extLst>
        </c:ser>
        <c:dLbls>
          <c:dLblPos val="outEnd"/>
          <c:showLegendKey val="0"/>
          <c:showVal val="1"/>
          <c:showCatName val="0"/>
          <c:showSerName val="0"/>
          <c:showPercent val="0"/>
          <c:showBubbleSize val="0"/>
        </c:dLbls>
        <c:gapWidth val="219"/>
        <c:overlap val="-27"/>
        <c:axId val="793627743"/>
        <c:axId val="793623903"/>
      </c:barChart>
      <c:catAx>
        <c:axId val="79362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3623903"/>
        <c:crosses val="autoZero"/>
        <c:auto val="1"/>
        <c:lblAlgn val="ctr"/>
        <c:lblOffset val="100"/>
        <c:noMultiLvlLbl val="0"/>
      </c:catAx>
      <c:valAx>
        <c:axId val="79362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627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5">
  <a:schemeClr val="accent2"/>
</cs:colorStyle>
</file>

<file path=xl/charts/colors19.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297180</xdr:colOff>
      <xdr:row>2</xdr:row>
      <xdr:rowOff>7620</xdr:rowOff>
    </xdr:from>
    <xdr:to>
      <xdr:col>12</xdr:col>
      <xdr:colOff>182880</xdr:colOff>
      <xdr:row>20</xdr:row>
      <xdr:rowOff>91440</xdr:rowOff>
    </xdr:to>
    <xdr:graphicFrame macro="">
      <xdr:nvGraphicFramePr>
        <xdr:cNvPr id="3" name="Chart 2">
          <a:extLst>
            <a:ext uri="{FF2B5EF4-FFF2-40B4-BE49-F238E27FC236}">
              <a16:creationId xmlns:a16="http://schemas.microsoft.com/office/drawing/2014/main" id="{67AA9B4B-D575-B85B-D865-2175631D7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502920</xdr:colOff>
      <xdr:row>3</xdr:row>
      <xdr:rowOff>152400</xdr:rowOff>
    </xdr:from>
    <xdr:to>
      <xdr:col>20</xdr:col>
      <xdr:colOff>198120</xdr:colOff>
      <xdr:row>18</xdr:row>
      <xdr:rowOff>45720</xdr:rowOff>
    </xdr:to>
    <xdr:graphicFrame macro="">
      <xdr:nvGraphicFramePr>
        <xdr:cNvPr id="2" name="Chart 1">
          <a:extLst>
            <a:ext uri="{FF2B5EF4-FFF2-40B4-BE49-F238E27FC236}">
              <a16:creationId xmlns:a16="http://schemas.microsoft.com/office/drawing/2014/main" id="{C5017178-3EE4-1FA6-2E47-BCA054272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525780</xdr:colOff>
      <xdr:row>1</xdr:row>
      <xdr:rowOff>160020</xdr:rowOff>
    </xdr:from>
    <xdr:to>
      <xdr:col>13</xdr:col>
      <xdr:colOff>236220</xdr:colOff>
      <xdr:row>20</xdr:row>
      <xdr:rowOff>144780</xdr:rowOff>
    </xdr:to>
    <xdr:graphicFrame macro="">
      <xdr:nvGraphicFramePr>
        <xdr:cNvPr id="3" name="Chart 2">
          <a:extLst>
            <a:ext uri="{FF2B5EF4-FFF2-40B4-BE49-F238E27FC236}">
              <a16:creationId xmlns:a16="http://schemas.microsoft.com/office/drawing/2014/main" id="{EBD148B9-887E-42E6-49CC-75C7E6737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289560</xdr:colOff>
      <xdr:row>1</xdr:row>
      <xdr:rowOff>160020</xdr:rowOff>
    </xdr:from>
    <xdr:to>
      <xdr:col>11</xdr:col>
      <xdr:colOff>472440</xdr:colOff>
      <xdr:row>20</xdr:row>
      <xdr:rowOff>0</xdr:rowOff>
    </xdr:to>
    <xdr:graphicFrame macro="">
      <xdr:nvGraphicFramePr>
        <xdr:cNvPr id="3" name="Chart 2">
          <a:extLst>
            <a:ext uri="{FF2B5EF4-FFF2-40B4-BE49-F238E27FC236}">
              <a16:creationId xmlns:a16="http://schemas.microsoft.com/office/drawing/2014/main" id="{53696F2F-6CA9-6006-174B-4411240AF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335280</xdr:colOff>
      <xdr:row>3</xdr:row>
      <xdr:rowOff>7620</xdr:rowOff>
    </xdr:from>
    <xdr:to>
      <xdr:col>20</xdr:col>
      <xdr:colOff>30480</xdr:colOff>
      <xdr:row>17</xdr:row>
      <xdr:rowOff>83820</xdr:rowOff>
    </xdr:to>
    <xdr:graphicFrame macro="">
      <xdr:nvGraphicFramePr>
        <xdr:cNvPr id="4" name="Chart 3">
          <a:extLst>
            <a:ext uri="{FF2B5EF4-FFF2-40B4-BE49-F238E27FC236}">
              <a16:creationId xmlns:a16="http://schemas.microsoft.com/office/drawing/2014/main" id="{00C6BCF5-6776-7CD5-3946-D138EF92C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601980</xdr:colOff>
      <xdr:row>2</xdr:row>
      <xdr:rowOff>15240</xdr:rowOff>
    </xdr:from>
    <xdr:to>
      <xdr:col>12</xdr:col>
      <xdr:colOff>312420</xdr:colOff>
      <xdr:row>19</xdr:row>
      <xdr:rowOff>0</xdr:rowOff>
    </xdr:to>
    <xdr:graphicFrame macro="">
      <xdr:nvGraphicFramePr>
        <xdr:cNvPr id="2" name="Chart 1">
          <a:extLst>
            <a:ext uri="{FF2B5EF4-FFF2-40B4-BE49-F238E27FC236}">
              <a16:creationId xmlns:a16="http://schemas.microsoft.com/office/drawing/2014/main" id="{7B1B6B4B-08CE-0A54-A712-762CCE7CA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586740</xdr:colOff>
      <xdr:row>1</xdr:row>
      <xdr:rowOff>175260</xdr:rowOff>
    </xdr:from>
    <xdr:to>
      <xdr:col>12</xdr:col>
      <xdr:colOff>563880</xdr:colOff>
      <xdr:row>21</xdr:row>
      <xdr:rowOff>7620</xdr:rowOff>
    </xdr:to>
    <xdr:graphicFrame macro="">
      <xdr:nvGraphicFramePr>
        <xdr:cNvPr id="2" name="Chart 1">
          <a:extLst>
            <a:ext uri="{FF2B5EF4-FFF2-40B4-BE49-F238E27FC236}">
              <a16:creationId xmlns:a16="http://schemas.microsoft.com/office/drawing/2014/main" id="{16F051D3-4EF7-1D48-5F5A-A6AFACB01B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601980</xdr:colOff>
      <xdr:row>2</xdr:row>
      <xdr:rowOff>15240</xdr:rowOff>
    </xdr:from>
    <xdr:to>
      <xdr:col>12</xdr:col>
      <xdr:colOff>327660</xdr:colOff>
      <xdr:row>19</xdr:row>
      <xdr:rowOff>167640</xdr:rowOff>
    </xdr:to>
    <xdr:graphicFrame macro="">
      <xdr:nvGraphicFramePr>
        <xdr:cNvPr id="2" name="Chart 1">
          <a:extLst>
            <a:ext uri="{FF2B5EF4-FFF2-40B4-BE49-F238E27FC236}">
              <a16:creationId xmlns:a16="http://schemas.microsoft.com/office/drawing/2014/main" id="{43E478BC-9720-CBC6-9153-AAF17B8B01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38100</xdr:colOff>
      <xdr:row>2</xdr:row>
      <xdr:rowOff>15240</xdr:rowOff>
    </xdr:from>
    <xdr:to>
      <xdr:col>11</xdr:col>
      <xdr:colOff>76200</xdr:colOff>
      <xdr:row>19</xdr:row>
      <xdr:rowOff>144780</xdr:rowOff>
    </xdr:to>
    <xdr:graphicFrame macro="">
      <xdr:nvGraphicFramePr>
        <xdr:cNvPr id="5" name="Chart 4">
          <a:extLst>
            <a:ext uri="{FF2B5EF4-FFF2-40B4-BE49-F238E27FC236}">
              <a16:creationId xmlns:a16="http://schemas.microsoft.com/office/drawing/2014/main" id="{7F7CACB0-DBC2-E192-5933-670BB8FAE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579120</xdr:colOff>
      <xdr:row>2</xdr:row>
      <xdr:rowOff>7620</xdr:rowOff>
    </xdr:from>
    <xdr:to>
      <xdr:col>13</xdr:col>
      <xdr:colOff>91440</xdr:colOff>
      <xdr:row>20</xdr:row>
      <xdr:rowOff>91440</xdr:rowOff>
    </xdr:to>
    <xdr:graphicFrame macro="">
      <xdr:nvGraphicFramePr>
        <xdr:cNvPr id="2" name="Chart 1">
          <a:extLst>
            <a:ext uri="{FF2B5EF4-FFF2-40B4-BE49-F238E27FC236}">
              <a16:creationId xmlns:a16="http://schemas.microsoft.com/office/drawing/2014/main" id="{569F13E8-2322-7B6F-3132-AB4CBD572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605461</xdr:colOff>
      <xdr:row>2</xdr:row>
      <xdr:rowOff>19755</xdr:rowOff>
    </xdr:from>
    <xdr:to>
      <xdr:col>13</xdr:col>
      <xdr:colOff>146379</xdr:colOff>
      <xdr:row>20</xdr:row>
      <xdr:rowOff>111195</xdr:rowOff>
    </xdr:to>
    <xdr:graphicFrame macro="">
      <xdr:nvGraphicFramePr>
        <xdr:cNvPr id="2" name="Chart 1">
          <a:extLst>
            <a:ext uri="{FF2B5EF4-FFF2-40B4-BE49-F238E27FC236}">
              <a16:creationId xmlns:a16="http://schemas.microsoft.com/office/drawing/2014/main" id="{CF39ED1C-7FA1-163E-AD2A-91CCC60A3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380999</xdr:colOff>
      <xdr:row>6</xdr:row>
      <xdr:rowOff>9769</xdr:rowOff>
    </xdr:from>
    <xdr:to>
      <xdr:col>23</xdr:col>
      <xdr:colOff>227622</xdr:colOff>
      <xdr:row>24</xdr:row>
      <xdr:rowOff>88118</xdr:rowOff>
    </xdr:to>
    <xdr:graphicFrame macro="">
      <xdr:nvGraphicFramePr>
        <xdr:cNvPr id="3" name="Chart 2">
          <a:extLst>
            <a:ext uri="{FF2B5EF4-FFF2-40B4-BE49-F238E27FC236}">
              <a16:creationId xmlns:a16="http://schemas.microsoft.com/office/drawing/2014/main" id="{19F5E0F5-20D7-4B65-95B0-1053E1C0E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410308</xdr:colOff>
      <xdr:row>27</xdr:row>
      <xdr:rowOff>87924</xdr:rowOff>
    </xdr:from>
    <xdr:to>
      <xdr:col>23</xdr:col>
      <xdr:colOff>81671</xdr:colOff>
      <xdr:row>46</xdr:row>
      <xdr:rowOff>127392</xdr:rowOff>
    </xdr:to>
    <xdr:graphicFrame macro="">
      <xdr:nvGraphicFramePr>
        <xdr:cNvPr id="5" name="Chart 4">
          <a:extLst>
            <a:ext uri="{FF2B5EF4-FFF2-40B4-BE49-F238E27FC236}">
              <a16:creationId xmlns:a16="http://schemas.microsoft.com/office/drawing/2014/main" id="{70C9F940-A317-4E44-A7A0-256CB92FE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468923</xdr:colOff>
      <xdr:row>49</xdr:row>
      <xdr:rowOff>156308</xdr:rowOff>
    </xdr:from>
    <xdr:to>
      <xdr:col>23</xdr:col>
      <xdr:colOff>595923</xdr:colOff>
      <xdr:row>70</xdr:row>
      <xdr:rowOff>166077</xdr:rowOff>
    </xdr:to>
    <xdr:graphicFrame macro="">
      <xdr:nvGraphicFramePr>
        <xdr:cNvPr id="6" name="Chart 5">
          <a:extLst>
            <a:ext uri="{FF2B5EF4-FFF2-40B4-BE49-F238E27FC236}">
              <a16:creationId xmlns:a16="http://schemas.microsoft.com/office/drawing/2014/main" id="{2AC11C2E-F2A8-405F-845C-B5490F98F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556845</xdr:colOff>
      <xdr:row>74</xdr:row>
      <xdr:rowOff>29307</xdr:rowOff>
    </xdr:from>
    <xdr:to>
      <xdr:col>23</xdr:col>
      <xdr:colOff>302845</xdr:colOff>
      <xdr:row>92</xdr:row>
      <xdr:rowOff>107462</xdr:rowOff>
    </xdr:to>
    <xdr:graphicFrame macro="">
      <xdr:nvGraphicFramePr>
        <xdr:cNvPr id="7" name="Chart 6">
          <a:extLst>
            <a:ext uri="{FF2B5EF4-FFF2-40B4-BE49-F238E27FC236}">
              <a16:creationId xmlns:a16="http://schemas.microsoft.com/office/drawing/2014/main" id="{F2118834-F94F-413E-A2BB-AE77C9A22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566616</xdr:colOff>
      <xdr:row>96</xdr:row>
      <xdr:rowOff>9769</xdr:rowOff>
    </xdr:from>
    <xdr:to>
      <xdr:col>24</xdr:col>
      <xdr:colOff>175846</xdr:colOff>
      <xdr:row>116</xdr:row>
      <xdr:rowOff>9769</xdr:rowOff>
    </xdr:to>
    <xdr:graphicFrame macro="">
      <xdr:nvGraphicFramePr>
        <xdr:cNvPr id="8" name="Chart 7">
          <a:extLst>
            <a:ext uri="{FF2B5EF4-FFF2-40B4-BE49-F238E27FC236}">
              <a16:creationId xmlns:a16="http://schemas.microsoft.com/office/drawing/2014/main" id="{BE09EB0E-70B1-4679-BE0D-C2DF2CBA6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611371</xdr:colOff>
      <xdr:row>118</xdr:row>
      <xdr:rowOff>132908</xdr:rowOff>
    </xdr:from>
    <xdr:to>
      <xdr:col>24</xdr:col>
      <xdr:colOff>124047</xdr:colOff>
      <xdr:row>140</xdr:row>
      <xdr:rowOff>0</xdr:rowOff>
    </xdr:to>
    <xdr:graphicFrame macro="">
      <xdr:nvGraphicFramePr>
        <xdr:cNvPr id="10" name="Chart 9">
          <a:extLst>
            <a:ext uri="{FF2B5EF4-FFF2-40B4-BE49-F238E27FC236}">
              <a16:creationId xmlns:a16="http://schemas.microsoft.com/office/drawing/2014/main" id="{0FE3A06C-A1C7-463B-B3B8-C0CE9CCED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611371</xdr:colOff>
      <xdr:row>142</xdr:row>
      <xdr:rowOff>186068</xdr:rowOff>
    </xdr:from>
    <xdr:to>
      <xdr:col>24</xdr:col>
      <xdr:colOff>186069</xdr:colOff>
      <xdr:row>163</xdr:row>
      <xdr:rowOff>177208</xdr:rowOff>
    </xdr:to>
    <xdr:graphicFrame macro="">
      <xdr:nvGraphicFramePr>
        <xdr:cNvPr id="12" name="Chart 11">
          <a:extLst>
            <a:ext uri="{FF2B5EF4-FFF2-40B4-BE49-F238E27FC236}">
              <a16:creationId xmlns:a16="http://schemas.microsoft.com/office/drawing/2014/main" id="{35B88C72-9C7C-4F46-811B-E274EE981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611371</xdr:colOff>
      <xdr:row>166</xdr:row>
      <xdr:rowOff>186069</xdr:rowOff>
    </xdr:from>
    <xdr:to>
      <xdr:col>24</xdr:col>
      <xdr:colOff>150627</xdr:colOff>
      <xdr:row>185</xdr:row>
      <xdr:rowOff>186068</xdr:rowOff>
    </xdr:to>
    <xdr:graphicFrame macro="">
      <xdr:nvGraphicFramePr>
        <xdr:cNvPr id="14" name="Chart 13">
          <a:extLst>
            <a:ext uri="{FF2B5EF4-FFF2-40B4-BE49-F238E27FC236}">
              <a16:creationId xmlns:a16="http://schemas.microsoft.com/office/drawing/2014/main" id="{A47430E0-7D3A-4116-A08E-4B2AF45CB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425023</xdr:colOff>
      <xdr:row>49</xdr:row>
      <xdr:rowOff>73259</xdr:rowOff>
    </xdr:from>
    <xdr:to>
      <xdr:col>12</xdr:col>
      <xdr:colOff>268189</xdr:colOff>
      <xdr:row>71</xdr:row>
      <xdr:rowOff>95745</xdr:rowOff>
    </xdr:to>
    <xdr:pic>
      <xdr:nvPicPr>
        <xdr:cNvPr id="2" name="Picture 1">
          <a:extLst>
            <a:ext uri="{FF2B5EF4-FFF2-40B4-BE49-F238E27FC236}">
              <a16:creationId xmlns:a16="http://schemas.microsoft.com/office/drawing/2014/main" id="{FF75CDBF-0C8C-2187-10FF-2E06E55F1E74}"/>
            </a:ext>
          </a:extLst>
        </xdr:cNvPr>
        <xdr:cNvPicPr>
          <a:picLocks noChangeAspect="1"/>
        </xdr:cNvPicPr>
      </xdr:nvPicPr>
      <xdr:blipFill>
        <a:blip xmlns:r="http://schemas.openxmlformats.org/officeDocument/2006/relationships" r:embed="rId1"/>
        <a:stretch>
          <a:fillRect/>
        </a:stretch>
      </xdr:blipFill>
      <xdr:spPr>
        <a:xfrm>
          <a:off x="3473023" y="10482179"/>
          <a:ext cx="4110366" cy="4564006"/>
        </a:xfrm>
        <a:prstGeom prst="rect">
          <a:avLst/>
        </a:prstGeom>
      </xdr:spPr>
    </xdr:pic>
    <xdr:clientData/>
  </xdr:twoCellAnchor>
  <xdr:twoCellAnchor editAs="oneCell">
    <xdr:from>
      <xdr:col>7</xdr:col>
      <xdr:colOff>343368</xdr:colOff>
      <xdr:row>81</xdr:row>
      <xdr:rowOff>126218</xdr:rowOff>
    </xdr:from>
    <xdr:to>
      <xdr:col>22</xdr:col>
      <xdr:colOff>407275</xdr:colOff>
      <xdr:row>97</xdr:row>
      <xdr:rowOff>273845</xdr:rowOff>
    </xdr:to>
    <xdr:pic>
      <xdr:nvPicPr>
        <xdr:cNvPr id="3" name="Picture 2">
          <a:extLst>
            <a:ext uri="{FF2B5EF4-FFF2-40B4-BE49-F238E27FC236}">
              <a16:creationId xmlns:a16="http://schemas.microsoft.com/office/drawing/2014/main" id="{65DE36B7-AC29-3380-B16C-B1C62EF441AB}"/>
            </a:ext>
          </a:extLst>
        </xdr:cNvPr>
        <xdr:cNvPicPr>
          <a:picLocks noChangeAspect="1"/>
        </xdr:cNvPicPr>
      </xdr:nvPicPr>
      <xdr:blipFill>
        <a:blip xmlns:r="http://schemas.openxmlformats.org/officeDocument/2006/relationships" r:embed="rId2"/>
        <a:stretch>
          <a:fillRect/>
        </a:stretch>
      </xdr:blipFill>
      <xdr:spPr>
        <a:xfrm>
          <a:off x="4610568" y="17141678"/>
          <a:ext cx="9207907" cy="3386127"/>
        </a:xfrm>
        <a:prstGeom prst="rect">
          <a:avLst/>
        </a:prstGeom>
      </xdr:spPr>
    </xdr:pic>
    <xdr:clientData/>
  </xdr:twoCellAnchor>
  <xdr:twoCellAnchor editAs="oneCell">
    <xdr:from>
      <xdr:col>12</xdr:col>
      <xdr:colOff>441960</xdr:colOff>
      <xdr:row>43</xdr:row>
      <xdr:rowOff>186299</xdr:rowOff>
    </xdr:from>
    <xdr:to>
      <xdr:col>24</xdr:col>
      <xdr:colOff>604772</xdr:colOff>
      <xdr:row>67</xdr:row>
      <xdr:rowOff>54467</xdr:rowOff>
    </xdr:to>
    <xdr:pic>
      <xdr:nvPicPr>
        <xdr:cNvPr id="4" name="Picture 3">
          <a:extLst>
            <a:ext uri="{FF2B5EF4-FFF2-40B4-BE49-F238E27FC236}">
              <a16:creationId xmlns:a16="http://schemas.microsoft.com/office/drawing/2014/main" id="{BB3E5DFE-5135-4739-CFB3-8D543B273356}"/>
            </a:ext>
          </a:extLst>
        </xdr:cNvPr>
        <xdr:cNvPicPr>
          <a:picLocks noChangeAspect="1"/>
        </xdr:cNvPicPr>
      </xdr:nvPicPr>
      <xdr:blipFill>
        <a:blip xmlns:r="http://schemas.openxmlformats.org/officeDocument/2006/relationships" r:embed="rId3"/>
        <a:stretch>
          <a:fillRect/>
        </a:stretch>
      </xdr:blipFill>
      <xdr:spPr>
        <a:xfrm>
          <a:off x="7757160" y="9406499"/>
          <a:ext cx="7478012" cy="47068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8.697094328701" createdVersion="8" refreshedVersion="8" minRefreshableVersion="3" recordCount="600" xr:uid="{2236D229-36A4-4F71-BB77-BEB6080936BC}">
  <cacheSource type="worksheet">
    <worksheetSource name="Table1"/>
  </cacheSource>
  <cacheFields count="13">
    <cacheField name="PO No" numFmtId="0">
      <sharedItems/>
    </cacheField>
    <cacheField name="PO Date" numFmtId="164">
      <sharedItems containsSemiMixedTypes="0" containsNonDate="0" containsDate="1" containsString="0" minDate="2026-01-01T00:00:00" maxDate="2026-06-29T00:00:00"/>
    </cacheField>
    <cacheField name="Supplier" numFmtId="0">
      <sharedItems count="6">
        <s v="Alpha"/>
        <s v="Prime"/>
        <s v="Delta"/>
        <s v="Gamma"/>
        <s v="Beta"/>
        <s v="Omega"/>
      </sharedItems>
    </cacheField>
    <cacheField name="Category" numFmtId="0">
      <sharedItems count="5">
        <s v="MRO"/>
        <s v="Raw Materials"/>
        <s v="Packaging"/>
        <s v="Logistics"/>
        <s v="IT"/>
      </sharedItems>
    </cacheField>
    <cacheField name="Department" numFmtId="0">
      <sharedItems count="6">
        <s v="Admin"/>
        <s v="Warehouse"/>
        <s v="Maintenance"/>
        <s v="IT"/>
        <s v="Production"/>
        <s v="Department not found"/>
      </sharedItems>
    </cacheField>
    <cacheField name="Item" numFmtId="0">
      <sharedItems count="5">
        <s v="Boxes"/>
        <s v="Freight"/>
        <s v="Laptop"/>
        <s v="Bearings"/>
        <s v="Steel"/>
      </sharedItems>
    </cacheField>
    <cacheField name="Qty" numFmtId="0">
      <sharedItems containsSemiMixedTypes="0" containsString="0" containsNumber="1" containsInteger="1" minValue="1" maxValue="100"/>
    </cacheField>
    <cacheField name="Unit Cost (USD)" numFmtId="165">
      <sharedItems containsSemiMixedTypes="0" containsString="0" containsNumber="1" containsInteger="1" minValue="5" maxValue="250" count="6">
        <n v="10"/>
        <n v="20"/>
        <n v="250"/>
        <n v="5"/>
        <n v="100"/>
        <n v="50"/>
      </sharedItems>
    </cacheField>
    <cacheField name="Spend (USD)" numFmtId="165">
      <sharedItems containsSemiMixedTypes="0" containsString="0" containsNumber="1" containsInteger="1" minValue="5" maxValue="24750"/>
    </cacheField>
    <cacheField name="On-Time %" numFmtId="0">
      <sharedItems containsSemiMixedTypes="0" containsString="0" containsNumber="1" containsInteger="1" minValue="70" maxValue="100"/>
    </cacheField>
    <cacheField name="Quality" numFmtId="0">
      <sharedItems containsSemiMixedTypes="0" containsString="0" containsNumber="1" containsInteger="1" minValue="2" maxValue="5"/>
    </cacheField>
    <cacheField name="Lead Days" numFmtId="0">
      <sharedItems containsSemiMixedTypes="0" containsString="0" containsNumber="1" containsInteger="1" minValue="2" maxValue="20"/>
    </cacheField>
    <cacheField name="Status" numFmtId="0">
      <sharedItems count="3">
        <s v="Cancelled"/>
        <s v="Completed"/>
        <s v="Pendi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PO10001"/>
    <d v="2026-01-14T00:00:00"/>
    <x v="0"/>
    <x v="0"/>
    <x v="0"/>
    <x v="0"/>
    <n v="30"/>
    <x v="0"/>
    <n v="300"/>
    <n v="70"/>
    <n v="5"/>
    <n v="17"/>
    <x v="0"/>
  </r>
  <r>
    <s v="PO10002"/>
    <d v="2026-01-05T00:00:00"/>
    <x v="1"/>
    <x v="1"/>
    <x v="1"/>
    <x v="1"/>
    <n v="28"/>
    <x v="1"/>
    <n v="560"/>
    <n v="73"/>
    <n v="3"/>
    <n v="20"/>
    <x v="0"/>
  </r>
  <r>
    <s v="PO10003"/>
    <d v="2026-03-10T00:00:00"/>
    <x v="1"/>
    <x v="2"/>
    <x v="2"/>
    <x v="2"/>
    <n v="74"/>
    <x v="2"/>
    <n v="18500"/>
    <n v="84"/>
    <n v="2"/>
    <n v="16"/>
    <x v="1"/>
  </r>
  <r>
    <s v="PO10004"/>
    <d v="2026-04-04T00:00:00"/>
    <x v="1"/>
    <x v="0"/>
    <x v="3"/>
    <x v="3"/>
    <n v="34"/>
    <x v="2"/>
    <n v="8500"/>
    <n v="75"/>
    <n v="3"/>
    <n v="20"/>
    <x v="1"/>
  </r>
  <r>
    <s v="PO10005"/>
    <d v="2026-02-22T00:00:00"/>
    <x v="2"/>
    <x v="3"/>
    <x v="0"/>
    <x v="0"/>
    <n v="17"/>
    <x v="1"/>
    <n v="340"/>
    <n v="96"/>
    <n v="2"/>
    <n v="5"/>
    <x v="1"/>
  </r>
  <r>
    <s v="PO10006"/>
    <d v="2026-02-12T00:00:00"/>
    <x v="3"/>
    <x v="0"/>
    <x v="1"/>
    <x v="4"/>
    <n v="75"/>
    <x v="3"/>
    <n v="375"/>
    <n v="83"/>
    <n v="4"/>
    <n v="20"/>
    <x v="2"/>
  </r>
  <r>
    <s v="PO10007"/>
    <d v="2026-02-23T00:00:00"/>
    <x v="3"/>
    <x v="0"/>
    <x v="0"/>
    <x v="4"/>
    <n v="63"/>
    <x v="0"/>
    <n v="630"/>
    <n v="84"/>
    <n v="5"/>
    <n v="5"/>
    <x v="1"/>
  </r>
  <r>
    <s v="PO10008"/>
    <d v="2026-06-15T00:00:00"/>
    <x v="4"/>
    <x v="1"/>
    <x v="3"/>
    <x v="4"/>
    <n v="48"/>
    <x v="4"/>
    <n v="4800"/>
    <n v="80"/>
    <n v="2"/>
    <n v="9"/>
    <x v="1"/>
  </r>
  <r>
    <s v="PO10009"/>
    <d v="2026-06-02T00:00:00"/>
    <x v="0"/>
    <x v="1"/>
    <x v="2"/>
    <x v="2"/>
    <n v="66"/>
    <x v="3"/>
    <n v="330"/>
    <n v="83"/>
    <n v="2"/>
    <n v="7"/>
    <x v="1"/>
  </r>
  <r>
    <s v="PO10010"/>
    <d v="2026-04-20T00:00:00"/>
    <x v="3"/>
    <x v="2"/>
    <x v="0"/>
    <x v="1"/>
    <n v="87"/>
    <x v="3"/>
    <n v="435"/>
    <n v="98"/>
    <n v="4"/>
    <n v="7"/>
    <x v="1"/>
  </r>
  <r>
    <s v="PO10011"/>
    <d v="2026-05-03T00:00:00"/>
    <x v="5"/>
    <x v="1"/>
    <x v="1"/>
    <x v="0"/>
    <n v="33"/>
    <x v="3"/>
    <n v="165"/>
    <n v="88"/>
    <n v="2"/>
    <n v="5"/>
    <x v="1"/>
  </r>
  <r>
    <s v="PO10012"/>
    <d v="2026-03-17T00:00:00"/>
    <x v="1"/>
    <x v="0"/>
    <x v="4"/>
    <x v="2"/>
    <n v="7"/>
    <x v="2"/>
    <n v="1750"/>
    <n v="84"/>
    <n v="3"/>
    <n v="12"/>
    <x v="1"/>
  </r>
  <r>
    <s v="PO10013"/>
    <d v="2026-02-11T00:00:00"/>
    <x v="3"/>
    <x v="2"/>
    <x v="0"/>
    <x v="2"/>
    <n v="5"/>
    <x v="0"/>
    <n v="50"/>
    <n v="88"/>
    <n v="4"/>
    <n v="19"/>
    <x v="1"/>
  </r>
  <r>
    <s v="PO10014"/>
    <d v="2026-02-04T00:00:00"/>
    <x v="2"/>
    <x v="1"/>
    <x v="4"/>
    <x v="2"/>
    <n v="15"/>
    <x v="2"/>
    <n v="3750"/>
    <n v="87"/>
    <n v="2"/>
    <n v="7"/>
    <x v="1"/>
  </r>
  <r>
    <s v="PO10015"/>
    <d v="2026-05-22T00:00:00"/>
    <x v="5"/>
    <x v="4"/>
    <x v="3"/>
    <x v="3"/>
    <n v="55"/>
    <x v="5"/>
    <n v="2750"/>
    <n v="74"/>
    <n v="4"/>
    <n v="11"/>
    <x v="1"/>
  </r>
  <r>
    <s v="PO10016"/>
    <d v="2026-05-11T00:00:00"/>
    <x v="0"/>
    <x v="0"/>
    <x v="3"/>
    <x v="2"/>
    <n v="65"/>
    <x v="3"/>
    <n v="325"/>
    <n v="98"/>
    <n v="2"/>
    <n v="6"/>
    <x v="1"/>
  </r>
  <r>
    <s v="PO10017"/>
    <d v="2026-05-18T00:00:00"/>
    <x v="4"/>
    <x v="4"/>
    <x v="4"/>
    <x v="1"/>
    <n v="78"/>
    <x v="5"/>
    <n v="3900"/>
    <n v="81"/>
    <n v="4"/>
    <n v="2"/>
    <x v="1"/>
  </r>
  <r>
    <s v="PO10018"/>
    <d v="2026-02-28T00:00:00"/>
    <x v="1"/>
    <x v="2"/>
    <x v="4"/>
    <x v="3"/>
    <n v="13"/>
    <x v="5"/>
    <n v="650"/>
    <n v="71"/>
    <n v="4"/>
    <n v="5"/>
    <x v="1"/>
  </r>
  <r>
    <s v="PO10019"/>
    <d v="2026-06-12T00:00:00"/>
    <x v="2"/>
    <x v="4"/>
    <x v="5"/>
    <x v="2"/>
    <n v="66"/>
    <x v="3"/>
    <n v="330"/>
    <n v="72"/>
    <n v="3"/>
    <n v="8"/>
    <x v="1"/>
  </r>
  <r>
    <s v="PO10020"/>
    <d v="2026-05-19T00:00:00"/>
    <x v="3"/>
    <x v="1"/>
    <x v="0"/>
    <x v="1"/>
    <n v="37"/>
    <x v="4"/>
    <n v="3700"/>
    <n v="91"/>
    <n v="4"/>
    <n v="20"/>
    <x v="1"/>
  </r>
  <r>
    <s v="PO10021"/>
    <d v="2026-02-11T00:00:00"/>
    <x v="1"/>
    <x v="3"/>
    <x v="0"/>
    <x v="2"/>
    <n v="49"/>
    <x v="0"/>
    <n v="490"/>
    <n v="71"/>
    <n v="2"/>
    <n v="17"/>
    <x v="2"/>
  </r>
  <r>
    <s v="PO10022"/>
    <d v="2026-04-21T00:00:00"/>
    <x v="4"/>
    <x v="0"/>
    <x v="1"/>
    <x v="3"/>
    <n v="19"/>
    <x v="0"/>
    <n v="190"/>
    <n v="76"/>
    <n v="4"/>
    <n v="8"/>
    <x v="1"/>
  </r>
  <r>
    <s v="PO10023"/>
    <d v="2026-06-15T00:00:00"/>
    <x v="5"/>
    <x v="0"/>
    <x v="4"/>
    <x v="1"/>
    <n v="77"/>
    <x v="5"/>
    <n v="3850"/>
    <n v="70"/>
    <n v="3"/>
    <n v="2"/>
    <x v="1"/>
  </r>
  <r>
    <s v="PO10024"/>
    <d v="2026-01-01T00:00:00"/>
    <x v="3"/>
    <x v="0"/>
    <x v="2"/>
    <x v="4"/>
    <n v="18"/>
    <x v="1"/>
    <n v="360"/>
    <n v="97"/>
    <n v="2"/>
    <n v="8"/>
    <x v="1"/>
  </r>
  <r>
    <s v="PO10025"/>
    <d v="2026-02-23T00:00:00"/>
    <x v="0"/>
    <x v="0"/>
    <x v="3"/>
    <x v="2"/>
    <n v="29"/>
    <x v="1"/>
    <n v="580"/>
    <n v="86"/>
    <n v="5"/>
    <n v="3"/>
    <x v="1"/>
  </r>
  <r>
    <s v="PO10026"/>
    <d v="2026-01-01T00:00:00"/>
    <x v="4"/>
    <x v="3"/>
    <x v="4"/>
    <x v="3"/>
    <n v="83"/>
    <x v="5"/>
    <n v="4150"/>
    <n v="99"/>
    <n v="3"/>
    <n v="5"/>
    <x v="1"/>
  </r>
  <r>
    <s v="PO10027"/>
    <d v="2026-03-21T00:00:00"/>
    <x v="4"/>
    <x v="0"/>
    <x v="2"/>
    <x v="3"/>
    <n v="28"/>
    <x v="4"/>
    <n v="2800"/>
    <n v="95"/>
    <n v="4"/>
    <n v="3"/>
    <x v="1"/>
  </r>
  <r>
    <s v="PO10028"/>
    <d v="2026-01-20T00:00:00"/>
    <x v="0"/>
    <x v="1"/>
    <x v="2"/>
    <x v="1"/>
    <n v="21"/>
    <x v="2"/>
    <n v="5250"/>
    <n v="75"/>
    <n v="3"/>
    <n v="12"/>
    <x v="2"/>
  </r>
  <r>
    <s v="PO10029"/>
    <d v="2026-03-04T00:00:00"/>
    <x v="1"/>
    <x v="3"/>
    <x v="3"/>
    <x v="0"/>
    <n v="27"/>
    <x v="2"/>
    <n v="6750"/>
    <n v="72"/>
    <n v="5"/>
    <n v="14"/>
    <x v="2"/>
  </r>
  <r>
    <s v="PO10030"/>
    <d v="2026-05-23T00:00:00"/>
    <x v="3"/>
    <x v="4"/>
    <x v="0"/>
    <x v="4"/>
    <n v="47"/>
    <x v="0"/>
    <n v="470"/>
    <n v="95"/>
    <n v="3"/>
    <n v="15"/>
    <x v="1"/>
  </r>
  <r>
    <s v="PO10031"/>
    <d v="2026-03-09T00:00:00"/>
    <x v="3"/>
    <x v="4"/>
    <x v="4"/>
    <x v="4"/>
    <n v="71"/>
    <x v="1"/>
    <n v="1420"/>
    <n v="83"/>
    <n v="3"/>
    <n v="18"/>
    <x v="2"/>
  </r>
  <r>
    <s v="PO10032"/>
    <d v="2026-06-18T00:00:00"/>
    <x v="0"/>
    <x v="0"/>
    <x v="3"/>
    <x v="1"/>
    <n v="63"/>
    <x v="3"/>
    <n v="315"/>
    <n v="98"/>
    <n v="3"/>
    <n v="20"/>
    <x v="1"/>
  </r>
  <r>
    <s v="PO10033"/>
    <d v="2026-06-02T00:00:00"/>
    <x v="4"/>
    <x v="2"/>
    <x v="1"/>
    <x v="2"/>
    <n v="45"/>
    <x v="0"/>
    <n v="450"/>
    <n v="73"/>
    <n v="5"/>
    <n v="19"/>
    <x v="1"/>
  </r>
  <r>
    <s v="PO10034"/>
    <d v="2026-01-07T00:00:00"/>
    <x v="1"/>
    <x v="4"/>
    <x v="4"/>
    <x v="0"/>
    <n v="47"/>
    <x v="4"/>
    <n v="4700"/>
    <n v="86"/>
    <n v="2"/>
    <n v="14"/>
    <x v="2"/>
  </r>
  <r>
    <s v="PO10035"/>
    <d v="2026-05-03T00:00:00"/>
    <x v="0"/>
    <x v="1"/>
    <x v="0"/>
    <x v="4"/>
    <n v="53"/>
    <x v="2"/>
    <n v="13250"/>
    <n v="77"/>
    <n v="2"/>
    <n v="16"/>
    <x v="1"/>
  </r>
  <r>
    <s v="PO10036"/>
    <d v="2026-05-24T00:00:00"/>
    <x v="0"/>
    <x v="3"/>
    <x v="0"/>
    <x v="2"/>
    <n v="70"/>
    <x v="1"/>
    <n v="1400"/>
    <n v="88"/>
    <n v="5"/>
    <n v="4"/>
    <x v="1"/>
  </r>
  <r>
    <s v="PO10037"/>
    <d v="2026-04-28T00:00:00"/>
    <x v="5"/>
    <x v="0"/>
    <x v="2"/>
    <x v="0"/>
    <n v="55"/>
    <x v="3"/>
    <n v="275"/>
    <n v="76"/>
    <n v="3"/>
    <n v="17"/>
    <x v="1"/>
  </r>
  <r>
    <s v="PO10038"/>
    <d v="2026-03-14T00:00:00"/>
    <x v="1"/>
    <x v="2"/>
    <x v="3"/>
    <x v="0"/>
    <n v="86"/>
    <x v="1"/>
    <n v="1720"/>
    <n v="74"/>
    <n v="2"/>
    <n v="10"/>
    <x v="1"/>
  </r>
  <r>
    <s v="PO10039"/>
    <d v="2026-03-23T00:00:00"/>
    <x v="1"/>
    <x v="2"/>
    <x v="2"/>
    <x v="2"/>
    <n v="36"/>
    <x v="5"/>
    <n v="1800"/>
    <n v="91"/>
    <n v="5"/>
    <n v="17"/>
    <x v="2"/>
  </r>
  <r>
    <s v="PO10040"/>
    <d v="2026-05-06T00:00:00"/>
    <x v="3"/>
    <x v="2"/>
    <x v="0"/>
    <x v="2"/>
    <n v="3"/>
    <x v="3"/>
    <n v="15"/>
    <n v="80"/>
    <n v="3"/>
    <n v="19"/>
    <x v="1"/>
  </r>
  <r>
    <s v="PO10041"/>
    <d v="2026-04-24T00:00:00"/>
    <x v="3"/>
    <x v="4"/>
    <x v="4"/>
    <x v="0"/>
    <n v="84"/>
    <x v="4"/>
    <n v="8400"/>
    <n v="98"/>
    <n v="2"/>
    <n v="17"/>
    <x v="0"/>
  </r>
  <r>
    <s v="PO10042"/>
    <d v="2026-05-09T00:00:00"/>
    <x v="2"/>
    <x v="1"/>
    <x v="2"/>
    <x v="4"/>
    <n v="65"/>
    <x v="4"/>
    <n v="6500"/>
    <n v="73"/>
    <n v="3"/>
    <n v="16"/>
    <x v="1"/>
  </r>
  <r>
    <s v="PO10043"/>
    <d v="2026-06-02T00:00:00"/>
    <x v="5"/>
    <x v="0"/>
    <x v="0"/>
    <x v="0"/>
    <n v="71"/>
    <x v="2"/>
    <n v="17750"/>
    <n v="96"/>
    <n v="5"/>
    <n v="2"/>
    <x v="1"/>
  </r>
  <r>
    <s v="PO10044"/>
    <d v="2026-04-17T00:00:00"/>
    <x v="1"/>
    <x v="1"/>
    <x v="0"/>
    <x v="4"/>
    <n v="8"/>
    <x v="5"/>
    <n v="400"/>
    <n v="70"/>
    <n v="4"/>
    <n v="3"/>
    <x v="1"/>
  </r>
  <r>
    <s v="PO10045"/>
    <d v="2026-03-16T00:00:00"/>
    <x v="2"/>
    <x v="1"/>
    <x v="3"/>
    <x v="2"/>
    <n v="40"/>
    <x v="3"/>
    <n v="200"/>
    <n v="91"/>
    <n v="2"/>
    <n v="13"/>
    <x v="2"/>
  </r>
  <r>
    <s v="PO10046"/>
    <d v="2026-03-04T00:00:00"/>
    <x v="4"/>
    <x v="1"/>
    <x v="3"/>
    <x v="4"/>
    <n v="43"/>
    <x v="0"/>
    <n v="430"/>
    <n v="81"/>
    <n v="4"/>
    <n v="8"/>
    <x v="1"/>
  </r>
  <r>
    <s v="PO10047"/>
    <d v="2026-01-18T00:00:00"/>
    <x v="3"/>
    <x v="4"/>
    <x v="1"/>
    <x v="4"/>
    <n v="89"/>
    <x v="4"/>
    <n v="8900"/>
    <n v="76"/>
    <n v="3"/>
    <n v="10"/>
    <x v="1"/>
  </r>
  <r>
    <s v="PO10048"/>
    <d v="2026-06-15T00:00:00"/>
    <x v="4"/>
    <x v="3"/>
    <x v="2"/>
    <x v="1"/>
    <n v="74"/>
    <x v="1"/>
    <n v="1480"/>
    <n v="82"/>
    <n v="3"/>
    <n v="9"/>
    <x v="1"/>
  </r>
  <r>
    <s v="PO10049"/>
    <d v="2026-01-28T00:00:00"/>
    <x v="0"/>
    <x v="4"/>
    <x v="4"/>
    <x v="2"/>
    <n v="82"/>
    <x v="5"/>
    <n v="4100"/>
    <n v="74"/>
    <n v="4"/>
    <n v="14"/>
    <x v="1"/>
  </r>
  <r>
    <s v="PO10050"/>
    <d v="2026-03-12T00:00:00"/>
    <x v="0"/>
    <x v="0"/>
    <x v="3"/>
    <x v="3"/>
    <n v="25"/>
    <x v="4"/>
    <n v="2500"/>
    <n v="77"/>
    <n v="5"/>
    <n v="20"/>
    <x v="1"/>
  </r>
  <r>
    <s v="PO10051"/>
    <d v="2026-05-25T00:00:00"/>
    <x v="0"/>
    <x v="3"/>
    <x v="0"/>
    <x v="2"/>
    <n v="73"/>
    <x v="1"/>
    <n v="1460"/>
    <n v="96"/>
    <n v="2"/>
    <n v="18"/>
    <x v="1"/>
  </r>
  <r>
    <s v="PO10052"/>
    <d v="2026-02-16T00:00:00"/>
    <x v="5"/>
    <x v="4"/>
    <x v="2"/>
    <x v="2"/>
    <n v="90"/>
    <x v="2"/>
    <n v="22500"/>
    <n v="86"/>
    <n v="5"/>
    <n v="20"/>
    <x v="1"/>
  </r>
  <r>
    <s v="PO10053"/>
    <d v="2026-06-28T00:00:00"/>
    <x v="3"/>
    <x v="2"/>
    <x v="2"/>
    <x v="2"/>
    <n v="28"/>
    <x v="1"/>
    <n v="560"/>
    <n v="98"/>
    <n v="4"/>
    <n v="20"/>
    <x v="1"/>
  </r>
  <r>
    <s v="PO10054"/>
    <d v="2026-02-26T00:00:00"/>
    <x v="5"/>
    <x v="1"/>
    <x v="0"/>
    <x v="4"/>
    <n v="41"/>
    <x v="3"/>
    <n v="205"/>
    <n v="81"/>
    <n v="4"/>
    <n v="9"/>
    <x v="1"/>
  </r>
  <r>
    <s v="PO10055"/>
    <d v="2026-02-04T00:00:00"/>
    <x v="2"/>
    <x v="1"/>
    <x v="3"/>
    <x v="1"/>
    <n v="31"/>
    <x v="0"/>
    <n v="310"/>
    <n v="92"/>
    <n v="3"/>
    <n v="13"/>
    <x v="1"/>
  </r>
  <r>
    <s v="PO10056"/>
    <d v="2026-02-05T00:00:00"/>
    <x v="3"/>
    <x v="4"/>
    <x v="2"/>
    <x v="3"/>
    <n v="5"/>
    <x v="5"/>
    <n v="250"/>
    <n v="70"/>
    <n v="3"/>
    <n v="6"/>
    <x v="1"/>
  </r>
  <r>
    <s v="PO10057"/>
    <d v="2026-05-26T00:00:00"/>
    <x v="3"/>
    <x v="2"/>
    <x v="3"/>
    <x v="0"/>
    <n v="100"/>
    <x v="3"/>
    <n v="500"/>
    <n v="74"/>
    <n v="4"/>
    <n v="10"/>
    <x v="1"/>
  </r>
  <r>
    <s v="PO10058"/>
    <d v="2026-04-10T00:00:00"/>
    <x v="1"/>
    <x v="1"/>
    <x v="1"/>
    <x v="2"/>
    <n v="8"/>
    <x v="1"/>
    <n v="160"/>
    <n v="74"/>
    <n v="4"/>
    <n v="19"/>
    <x v="2"/>
  </r>
  <r>
    <s v="PO10059"/>
    <d v="2026-05-24T00:00:00"/>
    <x v="0"/>
    <x v="2"/>
    <x v="4"/>
    <x v="2"/>
    <n v="97"/>
    <x v="4"/>
    <n v="9700"/>
    <n v="73"/>
    <n v="4"/>
    <n v="4"/>
    <x v="1"/>
  </r>
  <r>
    <s v="PO10060"/>
    <d v="2026-03-14T00:00:00"/>
    <x v="0"/>
    <x v="0"/>
    <x v="1"/>
    <x v="4"/>
    <n v="25"/>
    <x v="5"/>
    <n v="1250"/>
    <n v="74"/>
    <n v="5"/>
    <n v="7"/>
    <x v="1"/>
  </r>
  <r>
    <s v="PO10061"/>
    <d v="2026-02-04T00:00:00"/>
    <x v="5"/>
    <x v="4"/>
    <x v="2"/>
    <x v="2"/>
    <n v="75"/>
    <x v="1"/>
    <n v="1500"/>
    <n v="94"/>
    <n v="3"/>
    <n v="12"/>
    <x v="1"/>
  </r>
  <r>
    <s v="PO10062"/>
    <d v="2026-03-07T00:00:00"/>
    <x v="4"/>
    <x v="3"/>
    <x v="0"/>
    <x v="2"/>
    <n v="56"/>
    <x v="3"/>
    <n v="280"/>
    <n v="74"/>
    <n v="5"/>
    <n v="13"/>
    <x v="1"/>
  </r>
  <r>
    <s v="PO10063"/>
    <d v="2026-02-16T00:00:00"/>
    <x v="5"/>
    <x v="1"/>
    <x v="0"/>
    <x v="0"/>
    <n v="10"/>
    <x v="5"/>
    <n v="500"/>
    <n v="86"/>
    <n v="5"/>
    <n v="7"/>
    <x v="0"/>
  </r>
  <r>
    <s v="PO10064"/>
    <d v="2026-03-27T00:00:00"/>
    <x v="2"/>
    <x v="4"/>
    <x v="3"/>
    <x v="4"/>
    <n v="100"/>
    <x v="5"/>
    <n v="5000"/>
    <n v="80"/>
    <n v="4"/>
    <n v="5"/>
    <x v="2"/>
  </r>
  <r>
    <s v="PO10065"/>
    <d v="2026-06-16T00:00:00"/>
    <x v="0"/>
    <x v="2"/>
    <x v="1"/>
    <x v="0"/>
    <n v="93"/>
    <x v="1"/>
    <n v="1860"/>
    <n v="85"/>
    <n v="2"/>
    <n v="5"/>
    <x v="1"/>
  </r>
  <r>
    <s v="PO10066"/>
    <d v="2026-04-25T00:00:00"/>
    <x v="1"/>
    <x v="3"/>
    <x v="4"/>
    <x v="4"/>
    <n v="96"/>
    <x v="2"/>
    <n v="24000"/>
    <n v="100"/>
    <n v="2"/>
    <n v="16"/>
    <x v="2"/>
  </r>
  <r>
    <s v="PO10067"/>
    <d v="2026-04-24T00:00:00"/>
    <x v="2"/>
    <x v="0"/>
    <x v="0"/>
    <x v="1"/>
    <n v="48"/>
    <x v="1"/>
    <n v="960"/>
    <n v="74"/>
    <n v="4"/>
    <n v="5"/>
    <x v="1"/>
  </r>
  <r>
    <s v="PO10068"/>
    <d v="2026-01-09T00:00:00"/>
    <x v="0"/>
    <x v="2"/>
    <x v="0"/>
    <x v="2"/>
    <n v="48"/>
    <x v="4"/>
    <n v="4800"/>
    <n v="78"/>
    <n v="5"/>
    <n v="14"/>
    <x v="1"/>
  </r>
  <r>
    <s v="PO10069"/>
    <d v="2026-04-03T00:00:00"/>
    <x v="3"/>
    <x v="0"/>
    <x v="2"/>
    <x v="2"/>
    <n v="7"/>
    <x v="3"/>
    <n v="35"/>
    <n v="81"/>
    <n v="3"/>
    <n v="7"/>
    <x v="1"/>
  </r>
  <r>
    <s v="PO10070"/>
    <d v="2026-03-22T00:00:00"/>
    <x v="3"/>
    <x v="1"/>
    <x v="3"/>
    <x v="1"/>
    <n v="65"/>
    <x v="1"/>
    <n v="1300"/>
    <n v="70"/>
    <n v="3"/>
    <n v="7"/>
    <x v="1"/>
  </r>
  <r>
    <s v="PO10071"/>
    <d v="2026-01-15T00:00:00"/>
    <x v="5"/>
    <x v="0"/>
    <x v="1"/>
    <x v="3"/>
    <n v="54"/>
    <x v="2"/>
    <n v="13500"/>
    <n v="91"/>
    <n v="4"/>
    <n v="5"/>
    <x v="1"/>
  </r>
  <r>
    <s v="PO10072"/>
    <d v="2026-05-01T00:00:00"/>
    <x v="1"/>
    <x v="3"/>
    <x v="2"/>
    <x v="1"/>
    <n v="89"/>
    <x v="3"/>
    <n v="445"/>
    <n v="83"/>
    <n v="5"/>
    <n v="14"/>
    <x v="1"/>
  </r>
  <r>
    <s v="PO10073"/>
    <d v="2026-06-22T00:00:00"/>
    <x v="2"/>
    <x v="0"/>
    <x v="3"/>
    <x v="1"/>
    <n v="26"/>
    <x v="3"/>
    <n v="130"/>
    <n v="97"/>
    <n v="3"/>
    <n v="2"/>
    <x v="2"/>
  </r>
  <r>
    <s v="PO10074"/>
    <d v="2026-04-10T00:00:00"/>
    <x v="1"/>
    <x v="1"/>
    <x v="4"/>
    <x v="0"/>
    <n v="76"/>
    <x v="5"/>
    <n v="3800"/>
    <n v="93"/>
    <n v="5"/>
    <n v="12"/>
    <x v="1"/>
  </r>
  <r>
    <s v="PO10075"/>
    <d v="2026-04-25T00:00:00"/>
    <x v="1"/>
    <x v="2"/>
    <x v="2"/>
    <x v="2"/>
    <n v="72"/>
    <x v="2"/>
    <n v="18000"/>
    <n v="100"/>
    <n v="2"/>
    <n v="14"/>
    <x v="1"/>
  </r>
  <r>
    <s v="PO10076"/>
    <d v="2026-02-11T00:00:00"/>
    <x v="5"/>
    <x v="1"/>
    <x v="4"/>
    <x v="1"/>
    <n v="93"/>
    <x v="5"/>
    <n v="4650"/>
    <n v="78"/>
    <n v="3"/>
    <n v="19"/>
    <x v="1"/>
  </r>
  <r>
    <s v="PO10077"/>
    <d v="2026-02-24T00:00:00"/>
    <x v="0"/>
    <x v="1"/>
    <x v="2"/>
    <x v="3"/>
    <n v="61"/>
    <x v="1"/>
    <n v="1220"/>
    <n v="73"/>
    <n v="3"/>
    <n v="8"/>
    <x v="1"/>
  </r>
  <r>
    <s v="PO10078"/>
    <d v="2026-04-24T00:00:00"/>
    <x v="3"/>
    <x v="4"/>
    <x v="1"/>
    <x v="4"/>
    <n v="17"/>
    <x v="1"/>
    <n v="340"/>
    <n v="75"/>
    <n v="5"/>
    <n v="15"/>
    <x v="1"/>
  </r>
  <r>
    <s v="PO10079"/>
    <d v="2026-01-17T00:00:00"/>
    <x v="1"/>
    <x v="2"/>
    <x v="3"/>
    <x v="1"/>
    <n v="47"/>
    <x v="4"/>
    <n v="4700"/>
    <n v="77"/>
    <n v="3"/>
    <n v="12"/>
    <x v="2"/>
  </r>
  <r>
    <s v="PO10080"/>
    <d v="2026-03-05T00:00:00"/>
    <x v="5"/>
    <x v="3"/>
    <x v="2"/>
    <x v="0"/>
    <n v="84"/>
    <x v="4"/>
    <n v="8400"/>
    <n v="89"/>
    <n v="3"/>
    <n v="20"/>
    <x v="1"/>
  </r>
  <r>
    <s v="PO10081"/>
    <d v="2026-01-15T00:00:00"/>
    <x v="3"/>
    <x v="4"/>
    <x v="0"/>
    <x v="2"/>
    <n v="72"/>
    <x v="1"/>
    <n v="1440"/>
    <n v="76"/>
    <n v="3"/>
    <n v="9"/>
    <x v="1"/>
  </r>
  <r>
    <s v="PO10082"/>
    <d v="2026-01-01T00:00:00"/>
    <x v="5"/>
    <x v="3"/>
    <x v="1"/>
    <x v="0"/>
    <n v="11"/>
    <x v="5"/>
    <n v="550"/>
    <n v="100"/>
    <n v="4"/>
    <n v="7"/>
    <x v="1"/>
  </r>
  <r>
    <s v="PO10083"/>
    <d v="2026-02-19T00:00:00"/>
    <x v="1"/>
    <x v="1"/>
    <x v="3"/>
    <x v="2"/>
    <n v="84"/>
    <x v="5"/>
    <n v="4200"/>
    <n v="84"/>
    <n v="2"/>
    <n v="5"/>
    <x v="1"/>
  </r>
  <r>
    <s v="PO10084"/>
    <d v="2026-02-07T00:00:00"/>
    <x v="4"/>
    <x v="4"/>
    <x v="0"/>
    <x v="1"/>
    <n v="98"/>
    <x v="2"/>
    <n v="24500"/>
    <n v="88"/>
    <n v="4"/>
    <n v="15"/>
    <x v="1"/>
  </r>
  <r>
    <s v="PO10085"/>
    <d v="2026-01-06T00:00:00"/>
    <x v="3"/>
    <x v="3"/>
    <x v="1"/>
    <x v="2"/>
    <n v="74"/>
    <x v="0"/>
    <n v="740"/>
    <n v="88"/>
    <n v="2"/>
    <n v="6"/>
    <x v="2"/>
  </r>
  <r>
    <s v="PO10086"/>
    <d v="2026-01-01T00:00:00"/>
    <x v="4"/>
    <x v="3"/>
    <x v="1"/>
    <x v="4"/>
    <n v="28"/>
    <x v="0"/>
    <n v="280"/>
    <n v="99"/>
    <n v="3"/>
    <n v="9"/>
    <x v="1"/>
  </r>
  <r>
    <s v="PO10087"/>
    <d v="2026-02-24T00:00:00"/>
    <x v="4"/>
    <x v="0"/>
    <x v="4"/>
    <x v="2"/>
    <n v="84"/>
    <x v="0"/>
    <n v="840"/>
    <n v="92"/>
    <n v="4"/>
    <n v="20"/>
    <x v="1"/>
  </r>
  <r>
    <s v="PO10088"/>
    <d v="2026-06-14T00:00:00"/>
    <x v="4"/>
    <x v="3"/>
    <x v="1"/>
    <x v="4"/>
    <n v="29"/>
    <x v="3"/>
    <n v="145"/>
    <n v="70"/>
    <n v="2"/>
    <n v="4"/>
    <x v="2"/>
  </r>
  <r>
    <s v="PO10089"/>
    <d v="2026-04-14T00:00:00"/>
    <x v="3"/>
    <x v="0"/>
    <x v="2"/>
    <x v="0"/>
    <n v="13"/>
    <x v="2"/>
    <n v="3250"/>
    <n v="71"/>
    <n v="3"/>
    <n v="7"/>
    <x v="2"/>
  </r>
  <r>
    <s v="PO10090"/>
    <d v="2026-04-10T00:00:00"/>
    <x v="0"/>
    <x v="4"/>
    <x v="1"/>
    <x v="4"/>
    <n v="72"/>
    <x v="2"/>
    <n v="18000"/>
    <n v="98"/>
    <n v="5"/>
    <n v="11"/>
    <x v="1"/>
  </r>
  <r>
    <s v="PO10091"/>
    <d v="2026-05-26T00:00:00"/>
    <x v="3"/>
    <x v="4"/>
    <x v="4"/>
    <x v="0"/>
    <n v="66"/>
    <x v="3"/>
    <n v="330"/>
    <n v="100"/>
    <n v="5"/>
    <n v="19"/>
    <x v="1"/>
  </r>
  <r>
    <s v="PO10092"/>
    <d v="2026-03-01T00:00:00"/>
    <x v="3"/>
    <x v="2"/>
    <x v="0"/>
    <x v="0"/>
    <n v="5"/>
    <x v="4"/>
    <n v="500"/>
    <n v="90"/>
    <n v="2"/>
    <n v="12"/>
    <x v="2"/>
  </r>
  <r>
    <s v="PO10093"/>
    <d v="2026-01-23T00:00:00"/>
    <x v="5"/>
    <x v="0"/>
    <x v="4"/>
    <x v="4"/>
    <n v="83"/>
    <x v="5"/>
    <n v="4150"/>
    <n v="79"/>
    <n v="5"/>
    <n v="9"/>
    <x v="1"/>
  </r>
  <r>
    <s v="PO10094"/>
    <d v="2026-06-02T00:00:00"/>
    <x v="4"/>
    <x v="0"/>
    <x v="1"/>
    <x v="3"/>
    <n v="91"/>
    <x v="5"/>
    <n v="4550"/>
    <n v="97"/>
    <n v="5"/>
    <n v="3"/>
    <x v="1"/>
  </r>
  <r>
    <s v="PO10095"/>
    <d v="2026-05-06T00:00:00"/>
    <x v="0"/>
    <x v="3"/>
    <x v="4"/>
    <x v="3"/>
    <n v="84"/>
    <x v="2"/>
    <n v="21000"/>
    <n v="76"/>
    <n v="4"/>
    <n v="3"/>
    <x v="1"/>
  </r>
  <r>
    <s v="PO10096"/>
    <d v="2026-05-05T00:00:00"/>
    <x v="1"/>
    <x v="2"/>
    <x v="2"/>
    <x v="4"/>
    <n v="28"/>
    <x v="4"/>
    <n v="2800"/>
    <n v="89"/>
    <n v="2"/>
    <n v="17"/>
    <x v="1"/>
  </r>
  <r>
    <s v="PO10097"/>
    <d v="2026-06-16T00:00:00"/>
    <x v="1"/>
    <x v="2"/>
    <x v="1"/>
    <x v="3"/>
    <n v="95"/>
    <x v="5"/>
    <n v="4750"/>
    <n v="74"/>
    <n v="2"/>
    <n v="5"/>
    <x v="2"/>
  </r>
  <r>
    <s v="PO10098"/>
    <d v="2026-02-14T00:00:00"/>
    <x v="3"/>
    <x v="0"/>
    <x v="4"/>
    <x v="1"/>
    <n v="52"/>
    <x v="4"/>
    <n v="5200"/>
    <n v="76"/>
    <n v="2"/>
    <n v="9"/>
    <x v="1"/>
  </r>
  <r>
    <s v="PO10099"/>
    <d v="2026-04-05T00:00:00"/>
    <x v="0"/>
    <x v="2"/>
    <x v="0"/>
    <x v="3"/>
    <n v="37"/>
    <x v="5"/>
    <n v="1850"/>
    <n v="73"/>
    <n v="3"/>
    <n v="11"/>
    <x v="1"/>
  </r>
  <r>
    <s v="PO10100"/>
    <d v="2026-02-03T00:00:00"/>
    <x v="4"/>
    <x v="4"/>
    <x v="4"/>
    <x v="1"/>
    <n v="62"/>
    <x v="1"/>
    <n v="1240"/>
    <n v="76"/>
    <n v="3"/>
    <n v="3"/>
    <x v="1"/>
  </r>
  <r>
    <s v="PO10101"/>
    <d v="2026-04-08T00:00:00"/>
    <x v="0"/>
    <x v="3"/>
    <x v="3"/>
    <x v="3"/>
    <n v="47"/>
    <x v="0"/>
    <n v="470"/>
    <n v="78"/>
    <n v="3"/>
    <n v="16"/>
    <x v="1"/>
  </r>
  <r>
    <s v="PO10102"/>
    <d v="2026-06-08T00:00:00"/>
    <x v="1"/>
    <x v="3"/>
    <x v="3"/>
    <x v="1"/>
    <n v="44"/>
    <x v="0"/>
    <n v="440"/>
    <n v="94"/>
    <n v="2"/>
    <n v="5"/>
    <x v="1"/>
  </r>
  <r>
    <s v="PO10103"/>
    <d v="2026-03-17T00:00:00"/>
    <x v="3"/>
    <x v="2"/>
    <x v="0"/>
    <x v="4"/>
    <n v="43"/>
    <x v="3"/>
    <n v="215"/>
    <n v="95"/>
    <n v="5"/>
    <n v="15"/>
    <x v="1"/>
  </r>
  <r>
    <s v="PO10104"/>
    <d v="2026-03-25T00:00:00"/>
    <x v="1"/>
    <x v="0"/>
    <x v="2"/>
    <x v="2"/>
    <n v="57"/>
    <x v="3"/>
    <n v="285"/>
    <n v="84"/>
    <n v="4"/>
    <n v="16"/>
    <x v="2"/>
  </r>
  <r>
    <s v="PO10105"/>
    <d v="2026-02-17T00:00:00"/>
    <x v="2"/>
    <x v="0"/>
    <x v="0"/>
    <x v="0"/>
    <n v="7"/>
    <x v="0"/>
    <n v="70"/>
    <n v="75"/>
    <n v="5"/>
    <n v="15"/>
    <x v="2"/>
  </r>
  <r>
    <s v="PO10106"/>
    <d v="2026-03-12T00:00:00"/>
    <x v="2"/>
    <x v="2"/>
    <x v="4"/>
    <x v="3"/>
    <n v="6"/>
    <x v="1"/>
    <n v="120"/>
    <n v="72"/>
    <n v="3"/>
    <n v="8"/>
    <x v="2"/>
  </r>
  <r>
    <s v="PO10107"/>
    <d v="2026-05-09T00:00:00"/>
    <x v="5"/>
    <x v="1"/>
    <x v="2"/>
    <x v="4"/>
    <n v="74"/>
    <x v="3"/>
    <n v="370"/>
    <n v="89"/>
    <n v="5"/>
    <n v="18"/>
    <x v="1"/>
  </r>
  <r>
    <s v="PO10108"/>
    <d v="2026-02-18T00:00:00"/>
    <x v="2"/>
    <x v="4"/>
    <x v="0"/>
    <x v="3"/>
    <n v="31"/>
    <x v="1"/>
    <n v="620"/>
    <n v="87"/>
    <n v="4"/>
    <n v="5"/>
    <x v="1"/>
  </r>
  <r>
    <s v="PO10109"/>
    <d v="2026-06-28T00:00:00"/>
    <x v="5"/>
    <x v="3"/>
    <x v="3"/>
    <x v="4"/>
    <n v="48"/>
    <x v="2"/>
    <n v="12000"/>
    <n v="86"/>
    <n v="3"/>
    <n v="7"/>
    <x v="1"/>
  </r>
  <r>
    <s v="PO10110"/>
    <d v="2026-03-11T00:00:00"/>
    <x v="3"/>
    <x v="1"/>
    <x v="4"/>
    <x v="0"/>
    <n v="57"/>
    <x v="5"/>
    <n v="2850"/>
    <n v="93"/>
    <n v="2"/>
    <n v="16"/>
    <x v="1"/>
  </r>
  <r>
    <s v="PO10111"/>
    <d v="2026-03-07T00:00:00"/>
    <x v="2"/>
    <x v="3"/>
    <x v="2"/>
    <x v="3"/>
    <n v="26"/>
    <x v="0"/>
    <n v="260"/>
    <n v="99"/>
    <n v="5"/>
    <n v="4"/>
    <x v="1"/>
  </r>
  <r>
    <s v="PO10112"/>
    <d v="2026-04-20T00:00:00"/>
    <x v="3"/>
    <x v="2"/>
    <x v="3"/>
    <x v="4"/>
    <n v="52"/>
    <x v="1"/>
    <n v="1040"/>
    <n v="99"/>
    <n v="3"/>
    <n v="19"/>
    <x v="1"/>
  </r>
  <r>
    <s v="PO10113"/>
    <d v="2026-06-19T00:00:00"/>
    <x v="1"/>
    <x v="3"/>
    <x v="2"/>
    <x v="0"/>
    <n v="3"/>
    <x v="5"/>
    <n v="150"/>
    <n v="86"/>
    <n v="3"/>
    <n v="7"/>
    <x v="1"/>
  </r>
  <r>
    <s v="PO10114"/>
    <d v="2026-04-09T00:00:00"/>
    <x v="3"/>
    <x v="0"/>
    <x v="0"/>
    <x v="4"/>
    <n v="18"/>
    <x v="5"/>
    <n v="900"/>
    <n v="83"/>
    <n v="3"/>
    <n v="18"/>
    <x v="1"/>
  </r>
  <r>
    <s v="PO10115"/>
    <d v="2026-03-15T00:00:00"/>
    <x v="1"/>
    <x v="2"/>
    <x v="3"/>
    <x v="1"/>
    <n v="15"/>
    <x v="3"/>
    <n v="75"/>
    <n v="72"/>
    <n v="2"/>
    <n v="5"/>
    <x v="1"/>
  </r>
  <r>
    <s v="PO10116"/>
    <d v="2026-01-03T00:00:00"/>
    <x v="5"/>
    <x v="4"/>
    <x v="3"/>
    <x v="2"/>
    <n v="15"/>
    <x v="1"/>
    <n v="300"/>
    <n v="93"/>
    <n v="2"/>
    <n v="4"/>
    <x v="1"/>
  </r>
  <r>
    <s v="PO10117"/>
    <d v="2026-02-02T00:00:00"/>
    <x v="0"/>
    <x v="0"/>
    <x v="0"/>
    <x v="4"/>
    <n v="21"/>
    <x v="3"/>
    <n v="105"/>
    <n v="99"/>
    <n v="4"/>
    <n v="7"/>
    <x v="2"/>
  </r>
  <r>
    <s v="PO10118"/>
    <d v="2026-03-27T00:00:00"/>
    <x v="1"/>
    <x v="0"/>
    <x v="3"/>
    <x v="1"/>
    <n v="61"/>
    <x v="2"/>
    <n v="15250"/>
    <n v="90"/>
    <n v="4"/>
    <n v="3"/>
    <x v="1"/>
  </r>
  <r>
    <s v="PO10119"/>
    <d v="2026-05-08T00:00:00"/>
    <x v="0"/>
    <x v="3"/>
    <x v="0"/>
    <x v="4"/>
    <n v="12"/>
    <x v="4"/>
    <n v="1200"/>
    <n v="77"/>
    <n v="2"/>
    <n v="12"/>
    <x v="1"/>
  </r>
  <r>
    <s v="PO10120"/>
    <d v="2026-03-09T00:00:00"/>
    <x v="2"/>
    <x v="3"/>
    <x v="2"/>
    <x v="3"/>
    <n v="12"/>
    <x v="4"/>
    <n v="1200"/>
    <n v="80"/>
    <n v="2"/>
    <n v="3"/>
    <x v="1"/>
  </r>
  <r>
    <s v="PO10121"/>
    <d v="2026-01-25T00:00:00"/>
    <x v="1"/>
    <x v="0"/>
    <x v="2"/>
    <x v="0"/>
    <n v="50"/>
    <x v="2"/>
    <n v="12500"/>
    <n v="94"/>
    <n v="3"/>
    <n v="8"/>
    <x v="1"/>
  </r>
  <r>
    <s v="PO10122"/>
    <d v="2026-04-06T00:00:00"/>
    <x v="4"/>
    <x v="3"/>
    <x v="0"/>
    <x v="0"/>
    <n v="12"/>
    <x v="3"/>
    <n v="60"/>
    <n v="83"/>
    <n v="3"/>
    <n v="3"/>
    <x v="1"/>
  </r>
  <r>
    <s v="PO10123"/>
    <d v="2026-04-22T00:00:00"/>
    <x v="2"/>
    <x v="4"/>
    <x v="4"/>
    <x v="1"/>
    <n v="13"/>
    <x v="1"/>
    <n v="260"/>
    <n v="92"/>
    <n v="2"/>
    <n v="15"/>
    <x v="1"/>
  </r>
  <r>
    <s v="PO10124"/>
    <d v="2026-03-11T00:00:00"/>
    <x v="0"/>
    <x v="3"/>
    <x v="1"/>
    <x v="3"/>
    <n v="27"/>
    <x v="0"/>
    <n v="270"/>
    <n v="84"/>
    <n v="4"/>
    <n v="2"/>
    <x v="1"/>
  </r>
  <r>
    <s v="PO10125"/>
    <d v="2026-05-05T00:00:00"/>
    <x v="0"/>
    <x v="2"/>
    <x v="0"/>
    <x v="3"/>
    <n v="89"/>
    <x v="5"/>
    <n v="4450"/>
    <n v="92"/>
    <n v="4"/>
    <n v="11"/>
    <x v="1"/>
  </r>
  <r>
    <s v="PO10126"/>
    <d v="2026-02-10T00:00:00"/>
    <x v="2"/>
    <x v="3"/>
    <x v="2"/>
    <x v="2"/>
    <n v="10"/>
    <x v="4"/>
    <n v="1000"/>
    <n v="96"/>
    <n v="5"/>
    <n v="2"/>
    <x v="1"/>
  </r>
  <r>
    <s v="PO10127"/>
    <d v="2026-04-09T00:00:00"/>
    <x v="0"/>
    <x v="2"/>
    <x v="2"/>
    <x v="2"/>
    <n v="94"/>
    <x v="0"/>
    <n v="940"/>
    <n v="85"/>
    <n v="2"/>
    <n v="8"/>
    <x v="1"/>
  </r>
  <r>
    <s v="PO10128"/>
    <d v="2026-04-26T00:00:00"/>
    <x v="5"/>
    <x v="1"/>
    <x v="2"/>
    <x v="1"/>
    <n v="79"/>
    <x v="1"/>
    <n v="1580"/>
    <n v="70"/>
    <n v="2"/>
    <n v="4"/>
    <x v="1"/>
  </r>
  <r>
    <s v="PO10129"/>
    <d v="2026-03-25T00:00:00"/>
    <x v="3"/>
    <x v="4"/>
    <x v="3"/>
    <x v="1"/>
    <n v="68"/>
    <x v="0"/>
    <n v="680"/>
    <n v="74"/>
    <n v="2"/>
    <n v="10"/>
    <x v="2"/>
  </r>
  <r>
    <s v="PO10130"/>
    <d v="2026-03-26T00:00:00"/>
    <x v="4"/>
    <x v="1"/>
    <x v="2"/>
    <x v="4"/>
    <n v="80"/>
    <x v="0"/>
    <n v="800"/>
    <n v="87"/>
    <n v="2"/>
    <n v="2"/>
    <x v="2"/>
  </r>
  <r>
    <s v="PO10131"/>
    <d v="2026-05-05T00:00:00"/>
    <x v="1"/>
    <x v="4"/>
    <x v="2"/>
    <x v="2"/>
    <n v="27"/>
    <x v="4"/>
    <n v="2700"/>
    <n v="98"/>
    <n v="5"/>
    <n v="15"/>
    <x v="1"/>
  </r>
  <r>
    <s v="PO10132"/>
    <d v="2026-03-03T00:00:00"/>
    <x v="4"/>
    <x v="1"/>
    <x v="0"/>
    <x v="1"/>
    <n v="95"/>
    <x v="4"/>
    <n v="9500"/>
    <n v="86"/>
    <n v="4"/>
    <n v="10"/>
    <x v="1"/>
  </r>
  <r>
    <s v="PO10133"/>
    <d v="2026-02-02T00:00:00"/>
    <x v="1"/>
    <x v="2"/>
    <x v="2"/>
    <x v="2"/>
    <n v="78"/>
    <x v="4"/>
    <n v="7800"/>
    <n v="93"/>
    <n v="5"/>
    <n v="12"/>
    <x v="1"/>
  </r>
  <r>
    <s v="PO10134"/>
    <d v="2026-03-12T00:00:00"/>
    <x v="3"/>
    <x v="1"/>
    <x v="4"/>
    <x v="1"/>
    <n v="7"/>
    <x v="1"/>
    <n v="140"/>
    <n v="74"/>
    <n v="2"/>
    <n v="7"/>
    <x v="2"/>
  </r>
  <r>
    <s v="PO10135"/>
    <d v="2026-05-22T00:00:00"/>
    <x v="2"/>
    <x v="3"/>
    <x v="4"/>
    <x v="3"/>
    <n v="4"/>
    <x v="5"/>
    <n v="200"/>
    <n v="84"/>
    <n v="5"/>
    <n v="15"/>
    <x v="1"/>
  </r>
  <r>
    <s v="PO10136"/>
    <d v="2026-03-13T00:00:00"/>
    <x v="3"/>
    <x v="3"/>
    <x v="3"/>
    <x v="0"/>
    <n v="70"/>
    <x v="3"/>
    <n v="350"/>
    <n v="72"/>
    <n v="3"/>
    <n v="19"/>
    <x v="2"/>
  </r>
  <r>
    <s v="PO10137"/>
    <d v="2026-06-07T00:00:00"/>
    <x v="2"/>
    <x v="0"/>
    <x v="1"/>
    <x v="2"/>
    <n v="32"/>
    <x v="3"/>
    <n v="160"/>
    <n v="73"/>
    <n v="5"/>
    <n v="15"/>
    <x v="1"/>
  </r>
  <r>
    <s v="PO10138"/>
    <d v="2026-05-12T00:00:00"/>
    <x v="0"/>
    <x v="4"/>
    <x v="2"/>
    <x v="0"/>
    <n v="80"/>
    <x v="4"/>
    <n v="8000"/>
    <n v="76"/>
    <n v="4"/>
    <n v="8"/>
    <x v="1"/>
  </r>
  <r>
    <s v="PO10139"/>
    <d v="2026-06-17T00:00:00"/>
    <x v="5"/>
    <x v="0"/>
    <x v="3"/>
    <x v="0"/>
    <n v="92"/>
    <x v="1"/>
    <n v="1840"/>
    <n v="73"/>
    <n v="5"/>
    <n v="18"/>
    <x v="1"/>
  </r>
  <r>
    <s v="PO10140"/>
    <d v="2026-03-03T00:00:00"/>
    <x v="5"/>
    <x v="3"/>
    <x v="4"/>
    <x v="0"/>
    <n v="64"/>
    <x v="5"/>
    <n v="3200"/>
    <n v="94"/>
    <n v="4"/>
    <n v="16"/>
    <x v="1"/>
  </r>
  <r>
    <s v="PO10141"/>
    <d v="2026-04-15T00:00:00"/>
    <x v="1"/>
    <x v="0"/>
    <x v="1"/>
    <x v="0"/>
    <n v="23"/>
    <x v="1"/>
    <n v="460"/>
    <n v="94"/>
    <n v="2"/>
    <n v="12"/>
    <x v="1"/>
  </r>
  <r>
    <s v="PO10142"/>
    <d v="2026-05-25T00:00:00"/>
    <x v="4"/>
    <x v="2"/>
    <x v="3"/>
    <x v="3"/>
    <n v="27"/>
    <x v="2"/>
    <n v="6750"/>
    <n v="94"/>
    <n v="3"/>
    <n v="18"/>
    <x v="2"/>
  </r>
  <r>
    <s v="PO10143"/>
    <d v="2026-02-02T00:00:00"/>
    <x v="0"/>
    <x v="3"/>
    <x v="1"/>
    <x v="2"/>
    <n v="3"/>
    <x v="1"/>
    <n v="60"/>
    <n v="93"/>
    <n v="5"/>
    <n v="5"/>
    <x v="1"/>
  </r>
  <r>
    <s v="PO10144"/>
    <d v="2026-04-15T00:00:00"/>
    <x v="4"/>
    <x v="3"/>
    <x v="0"/>
    <x v="1"/>
    <n v="34"/>
    <x v="0"/>
    <n v="340"/>
    <n v="78"/>
    <n v="2"/>
    <n v="9"/>
    <x v="1"/>
  </r>
  <r>
    <s v="PO10145"/>
    <d v="2026-06-23T00:00:00"/>
    <x v="3"/>
    <x v="4"/>
    <x v="3"/>
    <x v="0"/>
    <n v="69"/>
    <x v="2"/>
    <n v="17250"/>
    <n v="74"/>
    <n v="3"/>
    <n v="16"/>
    <x v="1"/>
  </r>
  <r>
    <s v="PO10146"/>
    <d v="2026-03-23T00:00:00"/>
    <x v="3"/>
    <x v="2"/>
    <x v="1"/>
    <x v="1"/>
    <n v="30"/>
    <x v="3"/>
    <n v="150"/>
    <n v="83"/>
    <n v="2"/>
    <n v="20"/>
    <x v="1"/>
  </r>
  <r>
    <s v="PO10147"/>
    <d v="2026-05-05T00:00:00"/>
    <x v="4"/>
    <x v="3"/>
    <x v="0"/>
    <x v="3"/>
    <n v="37"/>
    <x v="3"/>
    <n v="185"/>
    <n v="73"/>
    <n v="5"/>
    <n v="11"/>
    <x v="1"/>
  </r>
  <r>
    <s v="PO10148"/>
    <d v="2026-06-01T00:00:00"/>
    <x v="0"/>
    <x v="3"/>
    <x v="1"/>
    <x v="4"/>
    <n v="94"/>
    <x v="1"/>
    <n v="1880"/>
    <n v="86"/>
    <n v="2"/>
    <n v="5"/>
    <x v="1"/>
  </r>
  <r>
    <s v="PO10149"/>
    <d v="2026-02-22T00:00:00"/>
    <x v="0"/>
    <x v="0"/>
    <x v="0"/>
    <x v="1"/>
    <n v="97"/>
    <x v="3"/>
    <n v="485"/>
    <n v="77"/>
    <n v="2"/>
    <n v="7"/>
    <x v="1"/>
  </r>
  <r>
    <s v="PO10150"/>
    <d v="2026-04-17T00:00:00"/>
    <x v="3"/>
    <x v="4"/>
    <x v="4"/>
    <x v="1"/>
    <n v="18"/>
    <x v="2"/>
    <n v="4500"/>
    <n v="87"/>
    <n v="2"/>
    <n v="18"/>
    <x v="1"/>
  </r>
  <r>
    <s v="PO10151"/>
    <d v="2026-04-21T00:00:00"/>
    <x v="2"/>
    <x v="0"/>
    <x v="0"/>
    <x v="4"/>
    <n v="80"/>
    <x v="0"/>
    <n v="800"/>
    <n v="98"/>
    <n v="5"/>
    <n v="4"/>
    <x v="2"/>
  </r>
  <r>
    <s v="PO10152"/>
    <d v="2026-01-23T00:00:00"/>
    <x v="0"/>
    <x v="2"/>
    <x v="4"/>
    <x v="3"/>
    <n v="76"/>
    <x v="2"/>
    <n v="19000"/>
    <n v="93"/>
    <n v="4"/>
    <n v="16"/>
    <x v="1"/>
  </r>
  <r>
    <s v="PO10153"/>
    <d v="2026-03-05T00:00:00"/>
    <x v="2"/>
    <x v="0"/>
    <x v="4"/>
    <x v="0"/>
    <n v="59"/>
    <x v="0"/>
    <n v="590"/>
    <n v="79"/>
    <n v="4"/>
    <n v="15"/>
    <x v="1"/>
  </r>
  <r>
    <s v="PO10154"/>
    <d v="2026-02-17T00:00:00"/>
    <x v="2"/>
    <x v="1"/>
    <x v="4"/>
    <x v="0"/>
    <n v="83"/>
    <x v="2"/>
    <n v="20750"/>
    <n v="76"/>
    <n v="2"/>
    <n v="3"/>
    <x v="2"/>
  </r>
  <r>
    <s v="PO10155"/>
    <d v="2026-01-09T00:00:00"/>
    <x v="3"/>
    <x v="2"/>
    <x v="2"/>
    <x v="3"/>
    <n v="98"/>
    <x v="4"/>
    <n v="9800"/>
    <n v="84"/>
    <n v="3"/>
    <n v="13"/>
    <x v="2"/>
  </r>
  <r>
    <s v="PO10156"/>
    <d v="2026-01-20T00:00:00"/>
    <x v="4"/>
    <x v="3"/>
    <x v="0"/>
    <x v="4"/>
    <n v="26"/>
    <x v="3"/>
    <n v="130"/>
    <n v="83"/>
    <n v="2"/>
    <n v="17"/>
    <x v="1"/>
  </r>
  <r>
    <s v="PO10157"/>
    <d v="2026-06-25T00:00:00"/>
    <x v="4"/>
    <x v="4"/>
    <x v="0"/>
    <x v="3"/>
    <n v="46"/>
    <x v="0"/>
    <n v="460"/>
    <n v="99"/>
    <n v="3"/>
    <n v="16"/>
    <x v="1"/>
  </r>
  <r>
    <s v="PO10158"/>
    <d v="2026-01-24T00:00:00"/>
    <x v="3"/>
    <x v="2"/>
    <x v="3"/>
    <x v="0"/>
    <n v="88"/>
    <x v="0"/>
    <n v="880"/>
    <n v="80"/>
    <n v="4"/>
    <n v="6"/>
    <x v="2"/>
  </r>
  <r>
    <s v="PO10159"/>
    <d v="2026-05-16T00:00:00"/>
    <x v="2"/>
    <x v="4"/>
    <x v="1"/>
    <x v="3"/>
    <n v="38"/>
    <x v="4"/>
    <n v="3800"/>
    <n v="73"/>
    <n v="3"/>
    <n v="20"/>
    <x v="2"/>
  </r>
  <r>
    <s v="PO10160"/>
    <d v="2026-03-03T00:00:00"/>
    <x v="3"/>
    <x v="1"/>
    <x v="3"/>
    <x v="3"/>
    <n v="1"/>
    <x v="3"/>
    <n v="5"/>
    <n v="81"/>
    <n v="3"/>
    <n v="4"/>
    <x v="2"/>
  </r>
  <r>
    <s v="PO10161"/>
    <d v="2026-03-11T00:00:00"/>
    <x v="1"/>
    <x v="4"/>
    <x v="2"/>
    <x v="4"/>
    <n v="9"/>
    <x v="3"/>
    <n v="45"/>
    <n v="92"/>
    <n v="2"/>
    <n v="10"/>
    <x v="1"/>
  </r>
  <r>
    <s v="PO10162"/>
    <d v="2026-05-11T00:00:00"/>
    <x v="5"/>
    <x v="1"/>
    <x v="2"/>
    <x v="3"/>
    <n v="97"/>
    <x v="0"/>
    <n v="970"/>
    <n v="75"/>
    <n v="4"/>
    <n v="7"/>
    <x v="1"/>
  </r>
  <r>
    <s v="PO10163"/>
    <d v="2026-01-08T00:00:00"/>
    <x v="0"/>
    <x v="3"/>
    <x v="4"/>
    <x v="2"/>
    <n v="2"/>
    <x v="5"/>
    <n v="100"/>
    <n v="91"/>
    <n v="5"/>
    <n v="19"/>
    <x v="0"/>
  </r>
  <r>
    <s v="PO10164"/>
    <d v="2026-01-28T00:00:00"/>
    <x v="5"/>
    <x v="1"/>
    <x v="3"/>
    <x v="3"/>
    <n v="72"/>
    <x v="0"/>
    <n v="720"/>
    <n v="91"/>
    <n v="4"/>
    <n v="17"/>
    <x v="2"/>
  </r>
  <r>
    <s v="PO10165"/>
    <d v="2026-03-19T00:00:00"/>
    <x v="0"/>
    <x v="3"/>
    <x v="3"/>
    <x v="2"/>
    <n v="64"/>
    <x v="5"/>
    <n v="3200"/>
    <n v="80"/>
    <n v="4"/>
    <n v="2"/>
    <x v="1"/>
  </r>
  <r>
    <s v="PO10166"/>
    <d v="2026-02-12T00:00:00"/>
    <x v="4"/>
    <x v="1"/>
    <x v="0"/>
    <x v="1"/>
    <n v="51"/>
    <x v="4"/>
    <n v="5100"/>
    <n v="82"/>
    <n v="3"/>
    <n v="12"/>
    <x v="1"/>
  </r>
  <r>
    <s v="PO10167"/>
    <d v="2026-02-14T00:00:00"/>
    <x v="3"/>
    <x v="3"/>
    <x v="1"/>
    <x v="4"/>
    <n v="40"/>
    <x v="1"/>
    <n v="800"/>
    <n v="97"/>
    <n v="3"/>
    <n v="9"/>
    <x v="1"/>
  </r>
  <r>
    <s v="PO10168"/>
    <d v="2026-06-08T00:00:00"/>
    <x v="1"/>
    <x v="4"/>
    <x v="3"/>
    <x v="2"/>
    <n v="49"/>
    <x v="2"/>
    <n v="12250"/>
    <n v="95"/>
    <n v="2"/>
    <n v="13"/>
    <x v="2"/>
  </r>
  <r>
    <s v="PO10169"/>
    <d v="2026-04-15T00:00:00"/>
    <x v="0"/>
    <x v="2"/>
    <x v="2"/>
    <x v="3"/>
    <n v="95"/>
    <x v="2"/>
    <n v="23750"/>
    <n v="74"/>
    <n v="4"/>
    <n v="5"/>
    <x v="1"/>
  </r>
  <r>
    <s v="PO10170"/>
    <d v="2026-01-10T00:00:00"/>
    <x v="3"/>
    <x v="4"/>
    <x v="1"/>
    <x v="2"/>
    <n v="78"/>
    <x v="2"/>
    <n v="19500"/>
    <n v="79"/>
    <n v="3"/>
    <n v="13"/>
    <x v="0"/>
  </r>
  <r>
    <s v="PO10171"/>
    <d v="2026-01-15T00:00:00"/>
    <x v="1"/>
    <x v="0"/>
    <x v="4"/>
    <x v="2"/>
    <n v="53"/>
    <x v="5"/>
    <n v="2650"/>
    <n v="98"/>
    <n v="4"/>
    <n v="7"/>
    <x v="2"/>
  </r>
  <r>
    <s v="PO10172"/>
    <d v="2026-03-03T00:00:00"/>
    <x v="4"/>
    <x v="3"/>
    <x v="3"/>
    <x v="2"/>
    <n v="61"/>
    <x v="4"/>
    <n v="6100"/>
    <n v="90"/>
    <n v="5"/>
    <n v="18"/>
    <x v="1"/>
  </r>
  <r>
    <s v="PO10173"/>
    <d v="2026-04-21T00:00:00"/>
    <x v="0"/>
    <x v="3"/>
    <x v="4"/>
    <x v="0"/>
    <n v="33"/>
    <x v="0"/>
    <n v="330"/>
    <n v="85"/>
    <n v="3"/>
    <n v="19"/>
    <x v="1"/>
  </r>
  <r>
    <s v="PO10174"/>
    <d v="2026-04-08T00:00:00"/>
    <x v="5"/>
    <x v="0"/>
    <x v="1"/>
    <x v="3"/>
    <n v="28"/>
    <x v="0"/>
    <n v="280"/>
    <n v="73"/>
    <n v="4"/>
    <n v="20"/>
    <x v="1"/>
  </r>
  <r>
    <s v="PO10175"/>
    <d v="2026-06-12T00:00:00"/>
    <x v="2"/>
    <x v="2"/>
    <x v="3"/>
    <x v="4"/>
    <n v="72"/>
    <x v="4"/>
    <n v="7200"/>
    <n v="87"/>
    <n v="5"/>
    <n v="6"/>
    <x v="1"/>
  </r>
  <r>
    <s v="PO10176"/>
    <d v="2026-04-06T00:00:00"/>
    <x v="4"/>
    <x v="4"/>
    <x v="2"/>
    <x v="3"/>
    <n v="40"/>
    <x v="2"/>
    <n v="10000"/>
    <n v="87"/>
    <n v="3"/>
    <n v="7"/>
    <x v="1"/>
  </r>
  <r>
    <s v="PO10177"/>
    <d v="2026-03-07T00:00:00"/>
    <x v="4"/>
    <x v="4"/>
    <x v="0"/>
    <x v="0"/>
    <n v="63"/>
    <x v="0"/>
    <n v="630"/>
    <n v="91"/>
    <n v="5"/>
    <n v="14"/>
    <x v="1"/>
  </r>
  <r>
    <s v="PO10178"/>
    <d v="2026-05-26T00:00:00"/>
    <x v="1"/>
    <x v="3"/>
    <x v="1"/>
    <x v="2"/>
    <n v="30"/>
    <x v="4"/>
    <n v="3000"/>
    <n v="87"/>
    <n v="2"/>
    <n v="18"/>
    <x v="1"/>
  </r>
  <r>
    <s v="PO10179"/>
    <d v="2026-01-07T00:00:00"/>
    <x v="5"/>
    <x v="1"/>
    <x v="0"/>
    <x v="1"/>
    <n v="71"/>
    <x v="0"/>
    <n v="710"/>
    <n v="70"/>
    <n v="2"/>
    <n v="5"/>
    <x v="1"/>
  </r>
  <r>
    <s v="PO10180"/>
    <d v="2026-01-06T00:00:00"/>
    <x v="3"/>
    <x v="2"/>
    <x v="3"/>
    <x v="3"/>
    <n v="24"/>
    <x v="4"/>
    <n v="2400"/>
    <n v="98"/>
    <n v="3"/>
    <n v="6"/>
    <x v="1"/>
  </r>
  <r>
    <s v="PO10181"/>
    <d v="2026-01-17T00:00:00"/>
    <x v="4"/>
    <x v="3"/>
    <x v="1"/>
    <x v="3"/>
    <n v="42"/>
    <x v="1"/>
    <n v="840"/>
    <n v="90"/>
    <n v="2"/>
    <n v="6"/>
    <x v="2"/>
  </r>
  <r>
    <s v="PO10182"/>
    <d v="2026-06-04T00:00:00"/>
    <x v="0"/>
    <x v="1"/>
    <x v="2"/>
    <x v="4"/>
    <n v="54"/>
    <x v="1"/>
    <n v="1080"/>
    <n v="77"/>
    <n v="3"/>
    <n v="6"/>
    <x v="1"/>
  </r>
  <r>
    <s v="PO10183"/>
    <d v="2026-05-08T00:00:00"/>
    <x v="3"/>
    <x v="2"/>
    <x v="1"/>
    <x v="3"/>
    <n v="41"/>
    <x v="0"/>
    <n v="410"/>
    <n v="70"/>
    <n v="4"/>
    <n v="15"/>
    <x v="1"/>
  </r>
  <r>
    <s v="PO10184"/>
    <d v="2026-04-23T00:00:00"/>
    <x v="1"/>
    <x v="1"/>
    <x v="4"/>
    <x v="1"/>
    <n v="77"/>
    <x v="2"/>
    <n v="19250"/>
    <n v="85"/>
    <n v="3"/>
    <n v="6"/>
    <x v="1"/>
  </r>
  <r>
    <s v="PO10185"/>
    <d v="2026-05-17T00:00:00"/>
    <x v="5"/>
    <x v="2"/>
    <x v="4"/>
    <x v="3"/>
    <n v="13"/>
    <x v="2"/>
    <n v="3250"/>
    <n v="90"/>
    <n v="4"/>
    <n v="9"/>
    <x v="1"/>
  </r>
  <r>
    <s v="PO10186"/>
    <d v="2026-02-16T00:00:00"/>
    <x v="5"/>
    <x v="0"/>
    <x v="3"/>
    <x v="1"/>
    <n v="20"/>
    <x v="5"/>
    <n v="1000"/>
    <n v="87"/>
    <n v="4"/>
    <n v="9"/>
    <x v="1"/>
  </r>
  <r>
    <s v="PO10187"/>
    <d v="2026-05-27T00:00:00"/>
    <x v="4"/>
    <x v="4"/>
    <x v="0"/>
    <x v="2"/>
    <n v="70"/>
    <x v="1"/>
    <n v="1400"/>
    <n v="87"/>
    <n v="2"/>
    <n v="10"/>
    <x v="1"/>
  </r>
  <r>
    <s v="PO10188"/>
    <d v="2026-02-23T00:00:00"/>
    <x v="4"/>
    <x v="2"/>
    <x v="2"/>
    <x v="0"/>
    <n v="8"/>
    <x v="0"/>
    <n v="80"/>
    <n v="89"/>
    <n v="4"/>
    <n v="6"/>
    <x v="1"/>
  </r>
  <r>
    <s v="PO10189"/>
    <d v="2026-04-17T00:00:00"/>
    <x v="4"/>
    <x v="2"/>
    <x v="3"/>
    <x v="2"/>
    <n v="25"/>
    <x v="2"/>
    <n v="6250"/>
    <n v="94"/>
    <n v="5"/>
    <n v="11"/>
    <x v="1"/>
  </r>
  <r>
    <s v="PO10190"/>
    <d v="2026-01-14T00:00:00"/>
    <x v="2"/>
    <x v="0"/>
    <x v="1"/>
    <x v="0"/>
    <n v="50"/>
    <x v="2"/>
    <n v="12500"/>
    <n v="72"/>
    <n v="4"/>
    <n v="10"/>
    <x v="1"/>
  </r>
  <r>
    <s v="PO10191"/>
    <d v="2026-02-17T00:00:00"/>
    <x v="0"/>
    <x v="2"/>
    <x v="0"/>
    <x v="2"/>
    <n v="90"/>
    <x v="2"/>
    <n v="22500"/>
    <n v="97"/>
    <n v="4"/>
    <n v="15"/>
    <x v="1"/>
  </r>
  <r>
    <s v="PO10192"/>
    <d v="2026-05-05T00:00:00"/>
    <x v="3"/>
    <x v="3"/>
    <x v="3"/>
    <x v="2"/>
    <n v="46"/>
    <x v="1"/>
    <n v="920"/>
    <n v="95"/>
    <n v="5"/>
    <n v="14"/>
    <x v="1"/>
  </r>
  <r>
    <s v="PO10193"/>
    <d v="2026-01-02T00:00:00"/>
    <x v="2"/>
    <x v="1"/>
    <x v="4"/>
    <x v="4"/>
    <n v="94"/>
    <x v="4"/>
    <n v="9400"/>
    <n v="93"/>
    <n v="2"/>
    <n v="8"/>
    <x v="1"/>
  </r>
  <r>
    <s v="PO10194"/>
    <d v="2026-01-28T00:00:00"/>
    <x v="4"/>
    <x v="3"/>
    <x v="1"/>
    <x v="2"/>
    <n v="17"/>
    <x v="2"/>
    <n v="4250"/>
    <n v="79"/>
    <n v="2"/>
    <n v="7"/>
    <x v="2"/>
  </r>
  <r>
    <s v="PO10195"/>
    <d v="2026-03-28T00:00:00"/>
    <x v="1"/>
    <x v="4"/>
    <x v="3"/>
    <x v="4"/>
    <n v="3"/>
    <x v="4"/>
    <n v="300"/>
    <n v="81"/>
    <n v="3"/>
    <n v="17"/>
    <x v="1"/>
  </r>
  <r>
    <s v="PO10196"/>
    <d v="2026-02-03T00:00:00"/>
    <x v="1"/>
    <x v="2"/>
    <x v="3"/>
    <x v="0"/>
    <n v="85"/>
    <x v="2"/>
    <n v="21250"/>
    <n v="81"/>
    <n v="3"/>
    <n v="13"/>
    <x v="1"/>
  </r>
  <r>
    <s v="PO10197"/>
    <d v="2026-04-18T00:00:00"/>
    <x v="5"/>
    <x v="4"/>
    <x v="2"/>
    <x v="4"/>
    <n v="14"/>
    <x v="3"/>
    <n v="70"/>
    <n v="97"/>
    <n v="5"/>
    <n v="18"/>
    <x v="1"/>
  </r>
  <r>
    <s v="PO10198"/>
    <d v="2026-04-17T00:00:00"/>
    <x v="3"/>
    <x v="4"/>
    <x v="4"/>
    <x v="3"/>
    <n v="25"/>
    <x v="0"/>
    <n v="250"/>
    <n v="100"/>
    <n v="3"/>
    <n v="17"/>
    <x v="2"/>
  </r>
  <r>
    <s v="PO10199"/>
    <d v="2026-05-08T00:00:00"/>
    <x v="0"/>
    <x v="2"/>
    <x v="0"/>
    <x v="2"/>
    <n v="7"/>
    <x v="2"/>
    <n v="1750"/>
    <n v="87"/>
    <n v="4"/>
    <n v="12"/>
    <x v="1"/>
  </r>
  <r>
    <s v="PO10200"/>
    <d v="2026-05-06T00:00:00"/>
    <x v="3"/>
    <x v="4"/>
    <x v="3"/>
    <x v="1"/>
    <n v="46"/>
    <x v="4"/>
    <n v="4600"/>
    <n v="99"/>
    <n v="2"/>
    <n v="7"/>
    <x v="1"/>
  </r>
  <r>
    <s v="PO10201"/>
    <d v="2026-05-13T00:00:00"/>
    <x v="0"/>
    <x v="1"/>
    <x v="4"/>
    <x v="0"/>
    <n v="75"/>
    <x v="2"/>
    <n v="18750"/>
    <n v="93"/>
    <n v="5"/>
    <n v="15"/>
    <x v="1"/>
  </r>
  <r>
    <s v="PO10202"/>
    <d v="2026-03-25T00:00:00"/>
    <x v="1"/>
    <x v="1"/>
    <x v="3"/>
    <x v="4"/>
    <n v="35"/>
    <x v="4"/>
    <n v="3500"/>
    <n v="98"/>
    <n v="2"/>
    <n v="13"/>
    <x v="1"/>
  </r>
  <r>
    <s v="PO10203"/>
    <d v="2026-06-12T00:00:00"/>
    <x v="0"/>
    <x v="2"/>
    <x v="3"/>
    <x v="0"/>
    <n v="7"/>
    <x v="2"/>
    <n v="1750"/>
    <n v="70"/>
    <n v="4"/>
    <n v="14"/>
    <x v="1"/>
  </r>
  <r>
    <s v="PO10204"/>
    <d v="2026-03-22T00:00:00"/>
    <x v="2"/>
    <x v="2"/>
    <x v="2"/>
    <x v="1"/>
    <n v="16"/>
    <x v="2"/>
    <n v="4000"/>
    <n v="82"/>
    <n v="3"/>
    <n v="7"/>
    <x v="1"/>
  </r>
  <r>
    <s v="PO10205"/>
    <d v="2026-03-25T00:00:00"/>
    <x v="1"/>
    <x v="1"/>
    <x v="0"/>
    <x v="1"/>
    <n v="27"/>
    <x v="1"/>
    <n v="540"/>
    <n v="89"/>
    <n v="5"/>
    <n v="20"/>
    <x v="2"/>
  </r>
  <r>
    <s v="PO10206"/>
    <d v="2026-06-15T00:00:00"/>
    <x v="2"/>
    <x v="1"/>
    <x v="0"/>
    <x v="4"/>
    <n v="46"/>
    <x v="4"/>
    <n v="4600"/>
    <n v="76"/>
    <n v="3"/>
    <n v="11"/>
    <x v="1"/>
  </r>
  <r>
    <s v="PO10207"/>
    <d v="2026-04-02T00:00:00"/>
    <x v="0"/>
    <x v="0"/>
    <x v="1"/>
    <x v="4"/>
    <n v="3"/>
    <x v="1"/>
    <n v="60"/>
    <n v="94"/>
    <n v="5"/>
    <n v="12"/>
    <x v="1"/>
  </r>
  <r>
    <s v="PO10208"/>
    <d v="2026-04-11T00:00:00"/>
    <x v="5"/>
    <x v="2"/>
    <x v="0"/>
    <x v="1"/>
    <n v="68"/>
    <x v="4"/>
    <n v="6800"/>
    <n v="87"/>
    <n v="5"/>
    <n v="17"/>
    <x v="2"/>
  </r>
  <r>
    <s v="PO10209"/>
    <d v="2026-06-04T00:00:00"/>
    <x v="4"/>
    <x v="3"/>
    <x v="1"/>
    <x v="3"/>
    <n v="77"/>
    <x v="4"/>
    <n v="7700"/>
    <n v="81"/>
    <n v="3"/>
    <n v="19"/>
    <x v="1"/>
  </r>
  <r>
    <s v="PO10210"/>
    <d v="2026-06-18T00:00:00"/>
    <x v="4"/>
    <x v="1"/>
    <x v="3"/>
    <x v="3"/>
    <n v="96"/>
    <x v="1"/>
    <n v="1920"/>
    <n v="86"/>
    <n v="2"/>
    <n v="4"/>
    <x v="1"/>
  </r>
  <r>
    <s v="PO10211"/>
    <d v="2026-01-03T00:00:00"/>
    <x v="5"/>
    <x v="3"/>
    <x v="1"/>
    <x v="4"/>
    <n v="64"/>
    <x v="1"/>
    <n v="1280"/>
    <n v="97"/>
    <n v="5"/>
    <n v="13"/>
    <x v="1"/>
  </r>
  <r>
    <s v="PO10212"/>
    <d v="2026-02-22T00:00:00"/>
    <x v="3"/>
    <x v="1"/>
    <x v="0"/>
    <x v="1"/>
    <n v="23"/>
    <x v="2"/>
    <n v="5750"/>
    <n v="71"/>
    <n v="5"/>
    <n v="19"/>
    <x v="1"/>
  </r>
  <r>
    <s v="PO10213"/>
    <d v="2026-06-04T00:00:00"/>
    <x v="5"/>
    <x v="1"/>
    <x v="0"/>
    <x v="2"/>
    <n v="52"/>
    <x v="2"/>
    <n v="13000"/>
    <n v="87"/>
    <n v="4"/>
    <n v="3"/>
    <x v="2"/>
  </r>
  <r>
    <s v="PO10214"/>
    <d v="2026-03-28T00:00:00"/>
    <x v="2"/>
    <x v="1"/>
    <x v="3"/>
    <x v="2"/>
    <n v="50"/>
    <x v="0"/>
    <n v="500"/>
    <n v="77"/>
    <n v="3"/>
    <n v="7"/>
    <x v="1"/>
  </r>
  <r>
    <s v="PO10215"/>
    <d v="2026-06-19T00:00:00"/>
    <x v="3"/>
    <x v="3"/>
    <x v="4"/>
    <x v="1"/>
    <n v="67"/>
    <x v="1"/>
    <n v="1340"/>
    <n v="71"/>
    <n v="3"/>
    <n v="7"/>
    <x v="1"/>
  </r>
  <r>
    <s v="PO10216"/>
    <d v="2026-03-22T00:00:00"/>
    <x v="1"/>
    <x v="4"/>
    <x v="1"/>
    <x v="2"/>
    <n v="25"/>
    <x v="0"/>
    <n v="250"/>
    <n v="71"/>
    <n v="4"/>
    <n v="16"/>
    <x v="1"/>
  </r>
  <r>
    <s v="PO10217"/>
    <d v="2026-05-20T00:00:00"/>
    <x v="3"/>
    <x v="4"/>
    <x v="0"/>
    <x v="0"/>
    <n v="45"/>
    <x v="1"/>
    <n v="900"/>
    <n v="86"/>
    <n v="4"/>
    <n v="9"/>
    <x v="2"/>
  </r>
  <r>
    <s v="PO10218"/>
    <d v="2026-06-02T00:00:00"/>
    <x v="3"/>
    <x v="4"/>
    <x v="0"/>
    <x v="3"/>
    <n v="45"/>
    <x v="5"/>
    <n v="2250"/>
    <n v="86"/>
    <n v="4"/>
    <n v="6"/>
    <x v="1"/>
  </r>
  <r>
    <s v="PO10219"/>
    <d v="2026-03-19T00:00:00"/>
    <x v="4"/>
    <x v="3"/>
    <x v="2"/>
    <x v="2"/>
    <n v="11"/>
    <x v="1"/>
    <n v="220"/>
    <n v="78"/>
    <n v="5"/>
    <n v="11"/>
    <x v="1"/>
  </r>
  <r>
    <s v="PO10220"/>
    <d v="2026-05-02T00:00:00"/>
    <x v="4"/>
    <x v="3"/>
    <x v="3"/>
    <x v="1"/>
    <n v="18"/>
    <x v="0"/>
    <n v="180"/>
    <n v="88"/>
    <n v="2"/>
    <n v="13"/>
    <x v="1"/>
  </r>
  <r>
    <s v="PO10221"/>
    <d v="2026-05-18T00:00:00"/>
    <x v="5"/>
    <x v="2"/>
    <x v="1"/>
    <x v="4"/>
    <n v="41"/>
    <x v="5"/>
    <n v="2050"/>
    <n v="94"/>
    <n v="2"/>
    <n v="18"/>
    <x v="1"/>
  </r>
  <r>
    <s v="PO10222"/>
    <d v="2026-01-05T00:00:00"/>
    <x v="3"/>
    <x v="2"/>
    <x v="1"/>
    <x v="0"/>
    <n v="9"/>
    <x v="2"/>
    <n v="2250"/>
    <n v="84"/>
    <n v="5"/>
    <n v="20"/>
    <x v="1"/>
  </r>
  <r>
    <s v="PO10223"/>
    <d v="2026-02-13T00:00:00"/>
    <x v="0"/>
    <x v="3"/>
    <x v="0"/>
    <x v="2"/>
    <n v="15"/>
    <x v="5"/>
    <n v="750"/>
    <n v="81"/>
    <n v="4"/>
    <n v="16"/>
    <x v="1"/>
  </r>
  <r>
    <s v="PO10224"/>
    <d v="2026-02-21T00:00:00"/>
    <x v="2"/>
    <x v="4"/>
    <x v="3"/>
    <x v="3"/>
    <n v="88"/>
    <x v="0"/>
    <n v="880"/>
    <n v="94"/>
    <n v="3"/>
    <n v="13"/>
    <x v="1"/>
  </r>
  <r>
    <s v="PO10225"/>
    <d v="2026-01-01T00:00:00"/>
    <x v="3"/>
    <x v="0"/>
    <x v="1"/>
    <x v="3"/>
    <n v="40"/>
    <x v="1"/>
    <n v="800"/>
    <n v="87"/>
    <n v="5"/>
    <n v="9"/>
    <x v="1"/>
  </r>
  <r>
    <s v="PO10226"/>
    <d v="2026-01-13T00:00:00"/>
    <x v="2"/>
    <x v="4"/>
    <x v="4"/>
    <x v="3"/>
    <n v="88"/>
    <x v="5"/>
    <n v="4400"/>
    <n v="73"/>
    <n v="4"/>
    <n v="17"/>
    <x v="1"/>
  </r>
  <r>
    <s v="PO10227"/>
    <d v="2026-06-15T00:00:00"/>
    <x v="4"/>
    <x v="1"/>
    <x v="0"/>
    <x v="0"/>
    <n v="31"/>
    <x v="0"/>
    <n v="310"/>
    <n v="98"/>
    <n v="2"/>
    <n v="15"/>
    <x v="1"/>
  </r>
  <r>
    <s v="PO10228"/>
    <d v="2026-04-16T00:00:00"/>
    <x v="0"/>
    <x v="0"/>
    <x v="2"/>
    <x v="2"/>
    <n v="51"/>
    <x v="3"/>
    <n v="255"/>
    <n v="98"/>
    <n v="2"/>
    <n v="18"/>
    <x v="1"/>
  </r>
  <r>
    <s v="PO10229"/>
    <d v="2026-01-16T00:00:00"/>
    <x v="5"/>
    <x v="4"/>
    <x v="0"/>
    <x v="1"/>
    <n v="73"/>
    <x v="2"/>
    <n v="18250"/>
    <n v="73"/>
    <n v="3"/>
    <n v="15"/>
    <x v="1"/>
  </r>
  <r>
    <s v="PO10230"/>
    <d v="2026-06-22T00:00:00"/>
    <x v="2"/>
    <x v="0"/>
    <x v="3"/>
    <x v="2"/>
    <n v="63"/>
    <x v="5"/>
    <n v="3150"/>
    <n v="83"/>
    <n v="5"/>
    <n v="3"/>
    <x v="1"/>
  </r>
  <r>
    <s v="PO10231"/>
    <d v="2026-04-25T00:00:00"/>
    <x v="0"/>
    <x v="2"/>
    <x v="0"/>
    <x v="2"/>
    <n v="30"/>
    <x v="3"/>
    <n v="150"/>
    <n v="79"/>
    <n v="5"/>
    <n v="18"/>
    <x v="1"/>
  </r>
  <r>
    <s v="PO10232"/>
    <d v="2026-06-15T00:00:00"/>
    <x v="2"/>
    <x v="4"/>
    <x v="3"/>
    <x v="4"/>
    <n v="63"/>
    <x v="4"/>
    <n v="6300"/>
    <n v="72"/>
    <n v="5"/>
    <n v="12"/>
    <x v="1"/>
  </r>
  <r>
    <s v="PO10233"/>
    <d v="2026-03-05T00:00:00"/>
    <x v="2"/>
    <x v="0"/>
    <x v="1"/>
    <x v="0"/>
    <n v="82"/>
    <x v="5"/>
    <n v="4100"/>
    <n v="97"/>
    <n v="4"/>
    <n v="7"/>
    <x v="1"/>
  </r>
  <r>
    <s v="PO10234"/>
    <d v="2026-04-27T00:00:00"/>
    <x v="0"/>
    <x v="3"/>
    <x v="2"/>
    <x v="4"/>
    <n v="52"/>
    <x v="3"/>
    <n v="260"/>
    <n v="75"/>
    <n v="4"/>
    <n v="7"/>
    <x v="1"/>
  </r>
  <r>
    <s v="PO10235"/>
    <d v="2026-05-12T00:00:00"/>
    <x v="5"/>
    <x v="1"/>
    <x v="4"/>
    <x v="3"/>
    <n v="10"/>
    <x v="5"/>
    <n v="500"/>
    <n v="99"/>
    <n v="3"/>
    <n v="12"/>
    <x v="1"/>
  </r>
  <r>
    <s v="PO10236"/>
    <d v="2026-06-25T00:00:00"/>
    <x v="2"/>
    <x v="0"/>
    <x v="4"/>
    <x v="0"/>
    <n v="58"/>
    <x v="3"/>
    <n v="290"/>
    <n v="78"/>
    <n v="2"/>
    <n v="6"/>
    <x v="2"/>
  </r>
  <r>
    <s v="PO10237"/>
    <d v="2026-05-13T00:00:00"/>
    <x v="1"/>
    <x v="2"/>
    <x v="1"/>
    <x v="2"/>
    <n v="85"/>
    <x v="2"/>
    <n v="21250"/>
    <n v="92"/>
    <n v="2"/>
    <n v="10"/>
    <x v="1"/>
  </r>
  <r>
    <s v="PO10238"/>
    <d v="2026-01-06T00:00:00"/>
    <x v="2"/>
    <x v="1"/>
    <x v="4"/>
    <x v="3"/>
    <n v="96"/>
    <x v="0"/>
    <n v="960"/>
    <n v="99"/>
    <n v="2"/>
    <n v="15"/>
    <x v="2"/>
  </r>
  <r>
    <s v="PO10239"/>
    <d v="2026-01-05T00:00:00"/>
    <x v="1"/>
    <x v="0"/>
    <x v="0"/>
    <x v="3"/>
    <n v="15"/>
    <x v="2"/>
    <n v="3750"/>
    <n v="93"/>
    <n v="4"/>
    <n v="18"/>
    <x v="1"/>
  </r>
  <r>
    <s v="PO10240"/>
    <d v="2026-03-02T00:00:00"/>
    <x v="5"/>
    <x v="1"/>
    <x v="2"/>
    <x v="4"/>
    <n v="64"/>
    <x v="3"/>
    <n v="320"/>
    <n v="94"/>
    <n v="4"/>
    <n v="8"/>
    <x v="1"/>
  </r>
  <r>
    <s v="PO10241"/>
    <d v="2026-06-17T00:00:00"/>
    <x v="2"/>
    <x v="0"/>
    <x v="1"/>
    <x v="3"/>
    <n v="64"/>
    <x v="1"/>
    <n v="1280"/>
    <n v="98"/>
    <n v="4"/>
    <n v="2"/>
    <x v="1"/>
  </r>
  <r>
    <s v="PO10242"/>
    <d v="2026-04-19T00:00:00"/>
    <x v="5"/>
    <x v="2"/>
    <x v="4"/>
    <x v="4"/>
    <n v="89"/>
    <x v="2"/>
    <n v="22250"/>
    <n v="87"/>
    <n v="5"/>
    <n v="20"/>
    <x v="1"/>
  </r>
  <r>
    <s v="PO10243"/>
    <d v="2026-04-16T00:00:00"/>
    <x v="1"/>
    <x v="3"/>
    <x v="1"/>
    <x v="1"/>
    <n v="74"/>
    <x v="3"/>
    <n v="370"/>
    <n v="81"/>
    <n v="2"/>
    <n v="11"/>
    <x v="1"/>
  </r>
  <r>
    <s v="PO10244"/>
    <d v="2026-03-01T00:00:00"/>
    <x v="2"/>
    <x v="0"/>
    <x v="0"/>
    <x v="2"/>
    <n v="55"/>
    <x v="0"/>
    <n v="550"/>
    <n v="72"/>
    <n v="3"/>
    <n v="17"/>
    <x v="2"/>
  </r>
  <r>
    <s v="PO10245"/>
    <d v="2026-04-08T00:00:00"/>
    <x v="1"/>
    <x v="0"/>
    <x v="2"/>
    <x v="1"/>
    <n v="92"/>
    <x v="0"/>
    <n v="920"/>
    <n v="98"/>
    <n v="4"/>
    <n v="20"/>
    <x v="2"/>
  </r>
  <r>
    <s v="PO10246"/>
    <d v="2026-05-12T00:00:00"/>
    <x v="5"/>
    <x v="2"/>
    <x v="4"/>
    <x v="2"/>
    <n v="28"/>
    <x v="1"/>
    <n v="560"/>
    <n v="79"/>
    <n v="3"/>
    <n v="15"/>
    <x v="1"/>
  </r>
  <r>
    <s v="PO10247"/>
    <d v="2026-04-06T00:00:00"/>
    <x v="4"/>
    <x v="0"/>
    <x v="1"/>
    <x v="2"/>
    <n v="6"/>
    <x v="0"/>
    <n v="60"/>
    <n v="95"/>
    <n v="3"/>
    <n v="16"/>
    <x v="1"/>
  </r>
  <r>
    <s v="PO10248"/>
    <d v="2026-03-18T00:00:00"/>
    <x v="5"/>
    <x v="2"/>
    <x v="4"/>
    <x v="2"/>
    <n v="34"/>
    <x v="2"/>
    <n v="8500"/>
    <n v="83"/>
    <n v="2"/>
    <n v="18"/>
    <x v="2"/>
  </r>
  <r>
    <s v="PO10249"/>
    <d v="2026-01-28T00:00:00"/>
    <x v="5"/>
    <x v="2"/>
    <x v="2"/>
    <x v="4"/>
    <n v="35"/>
    <x v="0"/>
    <n v="350"/>
    <n v="78"/>
    <n v="3"/>
    <n v="9"/>
    <x v="1"/>
  </r>
  <r>
    <s v="PO10250"/>
    <d v="2026-05-01T00:00:00"/>
    <x v="1"/>
    <x v="0"/>
    <x v="4"/>
    <x v="1"/>
    <n v="44"/>
    <x v="1"/>
    <n v="880"/>
    <n v="93"/>
    <n v="5"/>
    <n v="7"/>
    <x v="1"/>
  </r>
  <r>
    <s v="PO10251"/>
    <d v="2026-03-22T00:00:00"/>
    <x v="2"/>
    <x v="2"/>
    <x v="1"/>
    <x v="2"/>
    <n v="25"/>
    <x v="1"/>
    <n v="500"/>
    <n v="78"/>
    <n v="4"/>
    <n v="7"/>
    <x v="1"/>
  </r>
  <r>
    <s v="PO10252"/>
    <d v="2026-03-11T00:00:00"/>
    <x v="2"/>
    <x v="4"/>
    <x v="2"/>
    <x v="2"/>
    <n v="90"/>
    <x v="2"/>
    <n v="22500"/>
    <n v="86"/>
    <n v="3"/>
    <n v="9"/>
    <x v="1"/>
  </r>
  <r>
    <s v="PO10253"/>
    <d v="2026-05-19T00:00:00"/>
    <x v="0"/>
    <x v="2"/>
    <x v="4"/>
    <x v="2"/>
    <n v="43"/>
    <x v="1"/>
    <n v="860"/>
    <n v="100"/>
    <n v="2"/>
    <n v="6"/>
    <x v="1"/>
  </r>
  <r>
    <s v="PO10254"/>
    <d v="2026-06-18T00:00:00"/>
    <x v="3"/>
    <x v="1"/>
    <x v="4"/>
    <x v="3"/>
    <n v="66"/>
    <x v="5"/>
    <n v="3300"/>
    <n v="74"/>
    <n v="3"/>
    <n v="7"/>
    <x v="1"/>
  </r>
  <r>
    <s v="PO10255"/>
    <d v="2026-04-22T00:00:00"/>
    <x v="1"/>
    <x v="0"/>
    <x v="0"/>
    <x v="2"/>
    <n v="54"/>
    <x v="1"/>
    <n v="1080"/>
    <n v="86"/>
    <n v="4"/>
    <n v="20"/>
    <x v="1"/>
  </r>
  <r>
    <s v="PO10256"/>
    <d v="2026-02-16T00:00:00"/>
    <x v="1"/>
    <x v="2"/>
    <x v="3"/>
    <x v="0"/>
    <n v="76"/>
    <x v="1"/>
    <n v="1520"/>
    <n v="86"/>
    <n v="5"/>
    <n v="14"/>
    <x v="1"/>
  </r>
  <r>
    <s v="PO10257"/>
    <d v="2026-06-18T00:00:00"/>
    <x v="3"/>
    <x v="3"/>
    <x v="1"/>
    <x v="4"/>
    <n v="72"/>
    <x v="1"/>
    <n v="1440"/>
    <n v="99"/>
    <n v="2"/>
    <n v="7"/>
    <x v="1"/>
  </r>
  <r>
    <s v="PO10258"/>
    <d v="2026-05-14T00:00:00"/>
    <x v="2"/>
    <x v="1"/>
    <x v="1"/>
    <x v="1"/>
    <n v="8"/>
    <x v="3"/>
    <n v="40"/>
    <n v="80"/>
    <n v="2"/>
    <n v="13"/>
    <x v="2"/>
  </r>
  <r>
    <s v="PO10259"/>
    <d v="2026-04-14T00:00:00"/>
    <x v="1"/>
    <x v="3"/>
    <x v="3"/>
    <x v="2"/>
    <n v="79"/>
    <x v="0"/>
    <n v="790"/>
    <n v="86"/>
    <n v="2"/>
    <n v="16"/>
    <x v="1"/>
  </r>
  <r>
    <s v="PO10260"/>
    <d v="2026-04-04T00:00:00"/>
    <x v="1"/>
    <x v="2"/>
    <x v="0"/>
    <x v="4"/>
    <n v="21"/>
    <x v="1"/>
    <n v="420"/>
    <n v="77"/>
    <n v="3"/>
    <n v="15"/>
    <x v="1"/>
  </r>
  <r>
    <s v="PO10261"/>
    <d v="2026-05-05T00:00:00"/>
    <x v="0"/>
    <x v="0"/>
    <x v="1"/>
    <x v="1"/>
    <n v="84"/>
    <x v="0"/>
    <n v="840"/>
    <n v="79"/>
    <n v="3"/>
    <n v="19"/>
    <x v="1"/>
  </r>
  <r>
    <s v="PO10262"/>
    <d v="2026-02-18T00:00:00"/>
    <x v="4"/>
    <x v="0"/>
    <x v="3"/>
    <x v="1"/>
    <n v="64"/>
    <x v="5"/>
    <n v="3200"/>
    <n v="90"/>
    <n v="4"/>
    <n v="12"/>
    <x v="1"/>
  </r>
  <r>
    <s v="PO10263"/>
    <d v="2026-02-24T00:00:00"/>
    <x v="3"/>
    <x v="4"/>
    <x v="3"/>
    <x v="3"/>
    <n v="57"/>
    <x v="2"/>
    <n v="14250"/>
    <n v="100"/>
    <n v="2"/>
    <n v="19"/>
    <x v="0"/>
  </r>
  <r>
    <s v="PO10264"/>
    <d v="2026-01-02T00:00:00"/>
    <x v="5"/>
    <x v="4"/>
    <x v="2"/>
    <x v="0"/>
    <n v="35"/>
    <x v="4"/>
    <n v="3500"/>
    <n v="93"/>
    <n v="4"/>
    <n v="20"/>
    <x v="1"/>
  </r>
  <r>
    <s v="PO10265"/>
    <d v="2026-06-16T00:00:00"/>
    <x v="3"/>
    <x v="0"/>
    <x v="4"/>
    <x v="4"/>
    <n v="48"/>
    <x v="0"/>
    <n v="480"/>
    <n v="93"/>
    <n v="2"/>
    <n v="4"/>
    <x v="1"/>
  </r>
  <r>
    <s v="PO10266"/>
    <d v="2026-02-26T00:00:00"/>
    <x v="0"/>
    <x v="2"/>
    <x v="4"/>
    <x v="0"/>
    <n v="89"/>
    <x v="4"/>
    <n v="8900"/>
    <n v="84"/>
    <n v="3"/>
    <n v="19"/>
    <x v="1"/>
  </r>
  <r>
    <s v="PO10267"/>
    <d v="2026-05-18T00:00:00"/>
    <x v="3"/>
    <x v="2"/>
    <x v="4"/>
    <x v="0"/>
    <n v="51"/>
    <x v="1"/>
    <n v="1020"/>
    <n v="95"/>
    <n v="5"/>
    <n v="3"/>
    <x v="1"/>
  </r>
  <r>
    <s v="PO10268"/>
    <d v="2026-06-09T00:00:00"/>
    <x v="2"/>
    <x v="3"/>
    <x v="4"/>
    <x v="4"/>
    <n v="85"/>
    <x v="0"/>
    <n v="850"/>
    <n v="97"/>
    <n v="5"/>
    <n v="17"/>
    <x v="0"/>
  </r>
  <r>
    <s v="PO10269"/>
    <d v="2026-01-14T00:00:00"/>
    <x v="4"/>
    <x v="4"/>
    <x v="1"/>
    <x v="3"/>
    <n v="45"/>
    <x v="5"/>
    <n v="2250"/>
    <n v="91"/>
    <n v="4"/>
    <n v="6"/>
    <x v="1"/>
  </r>
  <r>
    <s v="PO10270"/>
    <d v="2026-04-11T00:00:00"/>
    <x v="1"/>
    <x v="2"/>
    <x v="1"/>
    <x v="0"/>
    <n v="58"/>
    <x v="3"/>
    <n v="290"/>
    <n v="83"/>
    <n v="3"/>
    <n v="13"/>
    <x v="1"/>
  </r>
  <r>
    <s v="PO10271"/>
    <d v="2026-03-06T00:00:00"/>
    <x v="5"/>
    <x v="2"/>
    <x v="3"/>
    <x v="2"/>
    <n v="94"/>
    <x v="5"/>
    <n v="4700"/>
    <n v="94"/>
    <n v="5"/>
    <n v="11"/>
    <x v="2"/>
  </r>
  <r>
    <s v="PO10272"/>
    <d v="2026-02-26T00:00:00"/>
    <x v="5"/>
    <x v="1"/>
    <x v="1"/>
    <x v="1"/>
    <n v="40"/>
    <x v="1"/>
    <n v="800"/>
    <n v="94"/>
    <n v="5"/>
    <n v="19"/>
    <x v="1"/>
  </r>
  <r>
    <s v="PO10273"/>
    <d v="2026-04-19T00:00:00"/>
    <x v="1"/>
    <x v="4"/>
    <x v="3"/>
    <x v="0"/>
    <n v="85"/>
    <x v="1"/>
    <n v="1700"/>
    <n v="100"/>
    <n v="5"/>
    <n v="19"/>
    <x v="1"/>
  </r>
  <r>
    <s v="PO10274"/>
    <d v="2026-05-24T00:00:00"/>
    <x v="3"/>
    <x v="3"/>
    <x v="4"/>
    <x v="0"/>
    <n v="69"/>
    <x v="1"/>
    <n v="1380"/>
    <n v="78"/>
    <n v="2"/>
    <n v="11"/>
    <x v="1"/>
  </r>
  <r>
    <s v="PO10275"/>
    <d v="2026-04-16T00:00:00"/>
    <x v="4"/>
    <x v="2"/>
    <x v="4"/>
    <x v="2"/>
    <n v="39"/>
    <x v="1"/>
    <n v="780"/>
    <n v="79"/>
    <n v="4"/>
    <n v="20"/>
    <x v="1"/>
  </r>
  <r>
    <s v="PO10276"/>
    <d v="2026-05-28T00:00:00"/>
    <x v="5"/>
    <x v="0"/>
    <x v="0"/>
    <x v="0"/>
    <n v="67"/>
    <x v="3"/>
    <n v="335"/>
    <n v="89"/>
    <n v="5"/>
    <n v="16"/>
    <x v="1"/>
  </r>
  <r>
    <s v="PO10277"/>
    <d v="2026-05-24T00:00:00"/>
    <x v="0"/>
    <x v="3"/>
    <x v="4"/>
    <x v="4"/>
    <n v="75"/>
    <x v="1"/>
    <n v="1500"/>
    <n v="98"/>
    <n v="4"/>
    <n v="15"/>
    <x v="1"/>
  </r>
  <r>
    <s v="PO10278"/>
    <d v="2026-05-18T00:00:00"/>
    <x v="0"/>
    <x v="2"/>
    <x v="1"/>
    <x v="3"/>
    <n v="91"/>
    <x v="0"/>
    <n v="910"/>
    <n v="90"/>
    <n v="5"/>
    <n v="19"/>
    <x v="0"/>
  </r>
  <r>
    <s v="PO10279"/>
    <d v="2026-06-21T00:00:00"/>
    <x v="0"/>
    <x v="1"/>
    <x v="3"/>
    <x v="1"/>
    <n v="65"/>
    <x v="0"/>
    <n v="650"/>
    <n v="79"/>
    <n v="2"/>
    <n v="3"/>
    <x v="1"/>
  </r>
  <r>
    <s v="PO10280"/>
    <d v="2026-02-24T00:00:00"/>
    <x v="0"/>
    <x v="0"/>
    <x v="2"/>
    <x v="4"/>
    <n v="99"/>
    <x v="4"/>
    <n v="9900"/>
    <n v="83"/>
    <n v="4"/>
    <n v="15"/>
    <x v="0"/>
  </r>
  <r>
    <s v="PO10281"/>
    <d v="2026-06-01T00:00:00"/>
    <x v="1"/>
    <x v="1"/>
    <x v="4"/>
    <x v="0"/>
    <n v="18"/>
    <x v="0"/>
    <n v="180"/>
    <n v="87"/>
    <n v="4"/>
    <n v="5"/>
    <x v="2"/>
  </r>
  <r>
    <s v="PO10282"/>
    <d v="2026-03-15T00:00:00"/>
    <x v="3"/>
    <x v="1"/>
    <x v="2"/>
    <x v="3"/>
    <n v="98"/>
    <x v="5"/>
    <n v="4900"/>
    <n v="82"/>
    <n v="3"/>
    <n v="10"/>
    <x v="1"/>
  </r>
  <r>
    <s v="PO10283"/>
    <d v="2026-06-06T00:00:00"/>
    <x v="4"/>
    <x v="2"/>
    <x v="2"/>
    <x v="2"/>
    <n v="17"/>
    <x v="1"/>
    <n v="340"/>
    <n v="81"/>
    <n v="4"/>
    <n v="6"/>
    <x v="1"/>
  </r>
  <r>
    <s v="PO10284"/>
    <d v="2026-02-27T00:00:00"/>
    <x v="5"/>
    <x v="2"/>
    <x v="2"/>
    <x v="3"/>
    <n v="91"/>
    <x v="4"/>
    <n v="9100"/>
    <n v="82"/>
    <n v="4"/>
    <n v="3"/>
    <x v="2"/>
  </r>
  <r>
    <s v="PO10285"/>
    <d v="2026-03-16T00:00:00"/>
    <x v="1"/>
    <x v="4"/>
    <x v="0"/>
    <x v="3"/>
    <n v="40"/>
    <x v="3"/>
    <n v="200"/>
    <n v="78"/>
    <n v="4"/>
    <n v="16"/>
    <x v="1"/>
  </r>
  <r>
    <s v="PO10286"/>
    <d v="2026-06-24T00:00:00"/>
    <x v="2"/>
    <x v="1"/>
    <x v="3"/>
    <x v="3"/>
    <n v="7"/>
    <x v="5"/>
    <n v="350"/>
    <n v="86"/>
    <n v="4"/>
    <n v="7"/>
    <x v="0"/>
  </r>
  <r>
    <s v="PO10287"/>
    <d v="2026-03-25T00:00:00"/>
    <x v="2"/>
    <x v="4"/>
    <x v="2"/>
    <x v="4"/>
    <n v="9"/>
    <x v="1"/>
    <n v="180"/>
    <n v="100"/>
    <n v="5"/>
    <n v="17"/>
    <x v="1"/>
  </r>
  <r>
    <s v="PO10288"/>
    <d v="2026-02-14T00:00:00"/>
    <x v="0"/>
    <x v="1"/>
    <x v="2"/>
    <x v="1"/>
    <n v="39"/>
    <x v="1"/>
    <n v="780"/>
    <n v="91"/>
    <n v="2"/>
    <n v="3"/>
    <x v="1"/>
  </r>
  <r>
    <s v="PO10289"/>
    <d v="2026-02-19T00:00:00"/>
    <x v="4"/>
    <x v="4"/>
    <x v="0"/>
    <x v="4"/>
    <n v="34"/>
    <x v="4"/>
    <n v="3400"/>
    <n v="80"/>
    <n v="3"/>
    <n v="18"/>
    <x v="1"/>
  </r>
  <r>
    <s v="PO10290"/>
    <d v="2026-06-07T00:00:00"/>
    <x v="5"/>
    <x v="1"/>
    <x v="3"/>
    <x v="3"/>
    <n v="42"/>
    <x v="0"/>
    <n v="420"/>
    <n v="75"/>
    <n v="3"/>
    <n v="13"/>
    <x v="1"/>
  </r>
  <r>
    <s v="PO10291"/>
    <d v="2026-02-01T00:00:00"/>
    <x v="3"/>
    <x v="3"/>
    <x v="0"/>
    <x v="2"/>
    <n v="89"/>
    <x v="2"/>
    <n v="22250"/>
    <n v="97"/>
    <n v="5"/>
    <n v="7"/>
    <x v="1"/>
  </r>
  <r>
    <s v="PO10292"/>
    <d v="2026-03-08T00:00:00"/>
    <x v="1"/>
    <x v="2"/>
    <x v="2"/>
    <x v="2"/>
    <n v="80"/>
    <x v="4"/>
    <n v="8000"/>
    <n v="72"/>
    <n v="3"/>
    <n v="17"/>
    <x v="1"/>
  </r>
  <r>
    <s v="PO10293"/>
    <d v="2026-02-17T00:00:00"/>
    <x v="0"/>
    <x v="1"/>
    <x v="3"/>
    <x v="3"/>
    <n v="26"/>
    <x v="4"/>
    <n v="2600"/>
    <n v="73"/>
    <n v="5"/>
    <n v="3"/>
    <x v="1"/>
  </r>
  <r>
    <s v="PO10294"/>
    <d v="2026-01-25T00:00:00"/>
    <x v="4"/>
    <x v="0"/>
    <x v="4"/>
    <x v="2"/>
    <n v="32"/>
    <x v="0"/>
    <n v="320"/>
    <n v="86"/>
    <n v="4"/>
    <n v="2"/>
    <x v="1"/>
  </r>
  <r>
    <s v="PO10295"/>
    <d v="2026-05-14T00:00:00"/>
    <x v="2"/>
    <x v="4"/>
    <x v="3"/>
    <x v="4"/>
    <n v="58"/>
    <x v="1"/>
    <n v="1160"/>
    <n v="93"/>
    <n v="2"/>
    <n v="3"/>
    <x v="1"/>
  </r>
  <r>
    <s v="PO10296"/>
    <d v="2026-01-10T00:00:00"/>
    <x v="1"/>
    <x v="0"/>
    <x v="1"/>
    <x v="3"/>
    <n v="47"/>
    <x v="1"/>
    <n v="940"/>
    <n v="76"/>
    <n v="5"/>
    <n v="18"/>
    <x v="1"/>
  </r>
  <r>
    <s v="PO10297"/>
    <d v="2026-01-20T00:00:00"/>
    <x v="5"/>
    <x v="4"/>
    <x v="3"/>
    <x v="1"/>
    <n v="36"/>
    <x v="5"/>
    <n v="1800"/>
    <n v="91"/>
    <n v="4"/>
    <n v="17"/>
    <x v="1"/>
  </r>
  <r>
    <s v="PO10298"/>
    <d v="2026-05-27T00:00:00"/>
    <x v="4"/>
    <x v="2"/>
    <x v="4"/>
    <x v="1"/>
    <n v="48"/>
    <x v="2"/>
    <n v="12000"/>
    <n v="88"/>
    <n v="2"/>
    <n v="20"/>
    <x v="1"/>
  </r>
  <r>
    <s v="PO10299"/>
    <d v="2026-01-23T00:00:00"/>
    <x v="3"/>
    <x v="2"/>
    <x v="0"/>
    <x v="4"/>
    <n v="9"/>
    <x v="0"/>
    <n v="90"/>
    <n v="98"/>
    <n v="4"/>
    <n v="19"/>
    <x v="1"/>
  </r>
  <r>
    <s v="PO10300"/>
    <d v="2026-02-24T00:00:00"/>
    <x v="1"/>
    <x v="4"/>
    <x v="3"/>
    <x v="1"/>
    <n v="48"/>
    <x v="5"/>
    <n v="2400"/>
    <n v="80"/>
    <n v="5"/>
    <n v="20"/>
    <x v="1"/>
  </r>
  <r>
    <s v="PO10301"/>
    <d v="2026-01-07T00:00:00"/>
    <x v="1"/>
    <x v="1"/>
    <x v="2"/>
    <x v="0"/>
    <n v="63"/>
    <x v="0"/>
    <n v="630"/>
    <n v="81"/>
    <n v="3"/>
    <n v="9"/>
    <x v="1"/>
  </r>
  <r>
    <s v="PO10302"/>
    <d v="2026-03-14T00:00:00"/>
    <x v="2"/>
    <x v="2"/>
    <x v="4"/>
    <x v="1"/>
    <n v="52"/>
    <x v="3"/>
    <n v="260"/>
    <n v="82"/>
    <n v="2"/>
    <n v="14"/>
    <x v="1"/>
  </r>
  <r>
    <s v="PO10303"/>
    <d v="2026-04-14T00:00:00"/>
    <x v="1"/>
    <x v="0"/>
    <x v="4"/>
    <x v="4"/>
    <n v="68"/>
    <x v="2"/>
    <n v="17000"/>
    <n v="89"/>
    <n v="4"/>
    <n v="14"/>
    <x v="1"/>
  </r>
  <r>
    <s v="PO10304"/>
    <d v="2026-05-24T00:00:00"/>
    <x v="3"/>
    <x v="0"/>
    <x v="3"/>
    <x v="4"/>
    <n v="11"/>
    <x v="3"/>
    <n v="55"/>
    <n v="95"/>
    <n v="2"/>
    <n v="7"/>
    <x v="1"/>
  </r>
  <r>
    <s v="PO10305"/>
    <d v="2026-01-04T00:00:00"/>
    <x v="4"/>
    <x v="4"/>
    <x v="3"/>
    <x v="0"/>
    <n v="66"/>
    <x v="0"/>
    <n v="660"/>
    <n v="84"/>
    <n v="4"/>
    <n v="7"/>
    <x v="1"/>
  </r>
  <r>
    <s v="PO10306"/>
    <d v="2026-05-14T00:00:00"/>
    <x v="5"/>
    <x v="2"/>
    <x v="3"/>
    <x v="3"/>
    <n v="62"/>
    <x v="0"/>
    <n v="620"/>
    <n v="89"/>
    <n v="2"/>
    <n v="11"/>
    <x v="1"/>
  </r>
  <r>
    <s v="PO10307"/>
    <d v="2026-03-17T00:00:00"/>
    <x v="1"/>
    <x v="1"/>
    <x v="2"/>
    <x v="0"/>
    <n v="9"/>
    <x v="5"/>
    <n v="450"/>
    <n v="93"/>
    <n v="5"/>
    <n v="20"/>
    <x v="1"/>
  </r>
  <r>
    <s v="PO10308"/>
    <d v="2026-02-22T00:00:00"/>
    <x v="2"/>
    <x v="0"/>
    <x v="2"/>
    <x v="4"/>
    <n v="23"/>
    <x v="4"/>
    <n v="2300"/>
    <n v="85"/>
    <n v="5"/>
    <n v="8"/>
    <x v="1"/>
  </r>
  <r>
    <s v="PO10309"/>
    <d v="2026-02-02T00:00:00"/>
    <x v="5"/>
    <x v="2"/>
    <x v="1"/>
    <x v="3"/>
    <n v="40"/>
    <x v="0"/>
    <n v="400"/>
    <n v="96"/>
    <n v="3"/>
    <n v="20"/>
    <x v="1"/>
  </r>
  <r>
    <s v="PO10310"/>
    <d v="2026-04-20T00:00:00"/>
    <x v="3"/>
    <x v="3"/>
    <x v="3"/>
    <x v="4"/>
    <n v="19"/>
    <x v="2"/>
    <n v="4750"/>
    <n v="85"/>
    <n v="2"/>
    <n v="5"/>
    <x v="1"/>
  </r>
  <r>
    <s v="PO10311"/>
    <d v="2026-03-17T00:00:00"/>
    <x v="0"/>
    <x v="2"/>
    <x v="2"/>
    <x v="3"/>
    <n v="84"/>
    <x v="0"/>
    <n v="840"/>
    <n v="70"/>
    <n v="2"/>
    <n v="15"/>
    <x v="1"/>
  </r>
  <r>
    <s v="PO10312"/>
    <d v="2026-01-17T00:00:00"/>
    <x v="0"/>
    <x v="1"/>
    <x v="1"/>
    <x v="2"/>
    <n v="56"/>
    <x v="2"/>
    <n v="14000"/>
    <n v="94"/>
    <n v="3"/>
    <n v="8"/>
    <x v="1"/>
  </r>
  <r>
    <s v="PO10313"/>
    <d v="2026-01-11T00:00:00"/>
    <x v="3"/>
    <x v="0"/>
    <x v="0"/>
    <x v="2"/>
    <n v="69"/>
    <x v="1"/>
    <n v="1380"/>
    <n v="74"/>
    <n v="4"/>
    <n v="12"/>
    <x v="1"/>
  </r>
  <r>
    <s v="PO10314"/>
    <d v="2026-02-13T00:00:00"/>
    <x v="3"/>
    <x v="1"/>
    <x v="1"/>
    <x v="2"/>
    <n v="2"/>
    <x v="2"/>
    <n v="500"/>
    <n v="78"/>
    <n v="4"/>
    <n v="12"/>
    <x v="1"/>
  </r>
  <r>
    <s v="PO10315"/>
    <d v="2026-04-16T00:00:00"/>
    <x v="3"/>
    <x v="4"/>
    <x v="2"/>
    <x v="4"/>
    <n v="11"/>
    <x v="3"/>
    <n v="55"/>
    <n v="86"/>
    <n v="5"/>
    <n v="2"/>
    <x v="1"/>
  </r>
  <r>
    <s v="PO10316"/>
    <d v="2026-03-17T00:00:00"/>
    <x v="4"/>
    <x v="4"/>
    <x v="3"/>
    <x v="0"/>
    <n v="73"/>
    <x v="0"/>
    <n v="730"/>
    <n v="87"/>
    <n v="2"/>
    <n v="2"/>
    <x v="1"/>
  </r>
  <r>
    <s v="PO10317"/>
    <d v="2026-04-15T00:00:00"/>
    <x v="3"/>
    <x v="0"/>
    <x v="0"/>
    <x v="2"/>
    <n v="38"/>
    <x v="5"/>
    <n v="1900"/>
    <n v="100"/>
    <n v="2"/>
    <n v="20"/>
    <x v="1"/>
  </r>
  <r>
    <s v="PO10318"/>
    <d v="2026-06-07T00:00:00"/>
    <x v="2"/>
    <x v="4"/>
    <x v="4"/>
    <x v="4"/>
    <n v="69"/>
    <x v="1"/>
    <n v="1380"/>
    <n v="87"/>
    <n v="3"/>
    <n v="2"/>
    <x v="1"/>
  </r>
  <r>
    <s v="PO10319"/>
    <d v="2026-01-09T00:00:00"/>
    <x v="4"/>
    <x v="3"/>
    <x v="1"/>
    <x v="1"/>
    <n v="21"/>
    <x v="4"/>
    <n v="2100"/>
    <n v="71"/>
    <n v="2"/>
    <n v="2"/>
    <x v="1"/>
  </r>
  <r>
    <s v="PO10320"/>
    <d v="2026-03-16T00:00:00"/>
    <x v="5"/>
    <x v="3"/>
    <x v="3"/>
    <x v="2"/>
    <n v="95"/>
    <x v="1"/>
    <n v="1900"/>
    <n v="76"/>
    <n v="3"/>
    <n v="8"/>
    <x v="1"/>
  </r>
  <r>
    <s v="PO10321"/>
    <d v="2026-03-02T00:00:00"/>
    <x v="3"/>
    <x v="1"/>
    <x v="3"/>
    <x v="3"/>
    <n v="89"/>
    <x v="3"/>
    <n v="445"/>
    <n v="76"/>
    <n v="5"/>
    <n v="4"/>
    <x v="1"/>
  </r>
  <r>
    <s v="PO10322"/>
    <d v="2026-01-24T00:00:00"/>
    <x v="4"/>
    <x v="2"/>
    <x v="0"/>
    <x v="1"/>
    <n v="66"/>
    <x v="1"/>
    <n v="1320"/>
    <n v="82"/>
    <n v="2"/>
    <n v="6"/>
    <x v="1"/>
  </r>
  <r>
    <s v="PO10323"/>
    <d v="2026-06-09T00:00:00"/>
    <x v="1"/>
    <x v="0"/>
    <x v="3"/>
    <x v="4"/>
    <n v="100"/>
    <x v="3"/>
    <n v="500"/>
    <n v="93"/>
    <n v="5"/>
    <n v="7"/>
    <x v="1"/>
  </r>
  <r>
    <s v="PO10324"/>
    <d v="2026-04-26T00:00:00"/>
    <x v="4"/>
    <x v="2"/>
    <x v="3"/>
    <x v="2"/>
    <n v="64"/>
    <x v="2"/>
    <n v="16000"/>
    <n v="91"/>
    <n v="4"/>
    <n v="11"/>
    <x v="1"/>
  </r>
  <r>
    <s v="PO10325"/>
    <d v="2026-05-02T00:00:00"/>
    <x v="4"/>
    <x v="3"/>
    <x v="0"/>
    <x v="3"/>
    <n v="11"/>
    <x v="4"/>
    <n v="1100"/>
    <n v="83"/>
    <n v="3"/>
    <n v="3"/>
    <x v="1"/>
  </r>
  <r>
    <s v="PO10326"/>
    <d v="2026-02-02T00:00:00"/>
    <x v="4"/>
    <x v="4"/>
    <x v="0"/>
    <x v="3"/>
    <n v="7"/>
    <x v="0"/>
    <n v="70"/>
    <n v="94"/>
    <n v="4"/>
    <n v="6"/>
    <x v="2"/>
  </r>
  <r>
    <s v="PO10327"/>
    <d v="2026-02-16T00:00:00"/>
    <x v="0"/>
    <x v="2"/>
    <x v="1"/>
    <x v="3"/>
    <n v="30"/>
    <x v="1"/>
    <n v="600"/>
    <n v="90"/>
    <n v="3"/>
    <n v="7"/>
    <x v="2"/>
  </r>
  <r>
    <s v="PO10328"/>
    <d v="2026-02-20T00:00:00"/>
    <x v="3"/>
    <x v="1"/>
    <x v="0"/>
    <x v="2"/>
    <n v="14"/>
    <x v="3"/>
    <n v="70"/>
    <n v="90"/>
    <n v="2"/>
    <n v="4"/>
    <x v="0"/>
  </r>
  <r>
    <s v="PO10329"/>
    <d v="2026-05-05T00:00:00"/>
    <x v="5"/>
    <x v="0"/>
    <x v="1"/>
    <x v="4"/>
    <n v="65"/>
    <x v="1"/>
    <n v="1300"/>
    <n v="99"/>
    <n v="3"/>
    <n v="18"/>
    <x v="2"/>
  </r>
  <r>
    <s v="PO10330"/>
    <d v="2026-04-02T00:00:00"/>
    <x v="4"/>
    <x v="3"/>
    <x v="2"/>
    <x v="3"/>
    <n v="73"/>
    <x v="0"/>
    <n v="730"/>
    <n v="89"/>
    <n v="5"/>
    <n v="12"/>
    <x v="1"/>
  </r>
  <r>
    <s v="PO10331"/>
    <d v="2026-05-03T00:00:00"/>
    <x v="0"/>
    <x v="0"/>
    <x v="2"/>
    <x v="0"/>
    <n v="10"/>
    <x v="3"/>
    <n v="50"/>
    <n v="97"/>
    <n v="3"/>
    <n v="4"/>
    <x v="1"/>
  </r>
  <r>
    <s v="PO10332"/>
    <d v="2026-01-28T00:00:00"/>
    <x v="0"/>
    <x v="3"/>
    <x v="2"/>
    <x v="3"/>
    <n v="14"/>
    <x v="4"/>
    <n v="1400"/>
    <n v="74"/>
    <n v="2"/>
    <n v="11"/>
    <x v="1"/>
  </r>
  <r>
    <s v="PO10333"/>
    <d v="2026-06-14T00:00:00"/>
    <x v="2"/>
    <x v="2"/>
    <x v="4"/>
    <x v="3"/>
    <n v="100"/>
    <x v="1"/>
    <n v="2000"/>
    <n v="92"/>
    <n v="2"/>
    <n v="10"/>
    <x v="1"/>
  </r>
  <r>
    <s v="PO10334"/>
    <d v="2026-02-15T00:00:00"/>
    <x v="1"/>
    <x v="0"/>
    <x v="4"/>
    <x v="0"/>
    <n v="83"/>
    <x v="3"/>
    <n v="415"/>
    <n v="88"/>
    <n v="4"/>
    <n v="20"/>
    <x v="1"/>
  </r>
  <r>
    <s v="PO10335"/>
    <d v="2026-03-17T00:00:00"/>
    <x v="2"/>
    <x v="1"/>
    <x v="0"/>
    <x v="2"/>
    <n v="42"/>
    <x v="2"/>
    <n v="10500"/>
    <n v="82"/>
    <n v="3"/>
    <n v="5"/>
    <x v="1"/>
  </r>
  <r>
    <s v="PO10336"/>
    <d v="2026-03-18T00:00:00"/>
    <x v="5"/>
    <x v="3"/>
    <x v="3"/>
    <x v="4"/>
    <n v="59"/>
    <x v="3"/>
    <n v="295"/>
    <n v="71"/>
    <n v="4"/>
    <n v="7"/>
    <x v="1"/>
  </r>
  <r>
    <s v="PO10337"/>
    <d v="2026-03-05T00:00:00"/>
    <x v="0"/>
    <x v="0"/>
    <x v="2"/>
    <x v="2"/>
    <n v="93"/>
    <x v="3"/>
    <n v="465"/>
    <n v="75"/>
    <n v="4"/>
    <n v="15"/>
    <x v="2"/>
  </r>
  <r>
    <s v="PO10338"/>
    <d v="2026-02-24T00:00:00"/>
    <x v="5"/>
    <x v="4"/>
    <x v="4"/>
    <x v="4"/>
    <n v="96"/>
    <x v="5"/>
    <n v="4800"/>
    <n v="72"/>
    <n v="5"/>
    <n v="19"/>
    <x v="1"/>
  </r>
  <r>
    <s v="PO10339"/>
    <d v="2026-03-10T00:00:00"/>
    <x v="3"/>
    <x v="2"/>
    <x v="3"/>
    <x v="2"/>
    <n v="10"/>
    <x v="0"/>
    <n v="100"/>
    <n v="72"/>
    <n v="2"/>
    <n v="8"/>
    <x v="1"/>
  </r>
  <r>
    <s v="PO10340"/>
    <d v="2026-05-05T00:00:00"/>
    <x v="1"/>
    <x v="1"/>
    <x v="1"/>
    <x v="0"/>
    <n v="7"/>
    <x v="4"/>
    <n v="700"/>
    <n v="100"/>
    <n v="2"/>
    <n v="11"/>
    <x v="1"/>
  </r>
  <r>
    <s v="PO10341"/>
    <d v="2026-04-01T00:00:00"/>
    <x v="4"/>
    <x v="1"/>
    <x v="4"/>
    <x v="3"/>
    <n v="10"/>
    <x v="1"/>
    <n v="200"/>
    <n v="74"/>
    <n v="5"/>
    <n v="14"/>
    <x v="1"/>
  </r>
  <r>
    <s v="PO10342"/>
    <d v="2026-05-13T00:00:00"/>
    <x v="1"/>
    <x v="0"/>
    <x v="2"/>
    <x v="1"/>
    <n v="10"/>
    <x v="3"/>
    <n v="50"/>
    <n v="71"/>
    <n v="3"/>
    <n v="17"/>
    <x v="1"/>
  </r>
  <r>
    <s v="PO10343"/>
    <d v="2026-04-17T00:00:00"/>
    <x v="1"/>
    <x v="4"/>
    <x v="2"/>
    <x v="4"/>
    <n v="23"/>
    <x v="3"/>
    <n v="115"/>
    <n v="81"/>
    <n v="4"/>
    <n v="11"/>
    <x v="1"/>
  </r>
  <r>
    <s v="PO10344"/>
    <d v="2026-03-23T00:00:00"/>
    <x v="1"/>
    <x v="3"/>
    <x v="3"/>
    <x v="0"/>
    <n v="26"/>
    <x v="5"/>
    <n v="1300"/>
    <n v="88"/>
    <n v="2"/>
    <n v="3"/>
    <x v="1"/>
  </r>
  <r>
    <s v="PO10345"/>
    <d v="2026-03-25T00:00:00"/>
    <x v="5"/>
    <x v="4"/>
    <x v="1"/>
    <x v="0"/>
    <n v="79"/>
    <x v="5"/>
    <n v="3950"/>
    <n v="73"/>
    <n v="5"/>
    <n v="16"/>
    <x v="1"/>
  </r>
  <r>
    <s v="PO10346"/>
    <d v="2026-04-25T00:00:00"/>
    <x v="0"/>
    <x v="0"/>
    <x v="2"/>
    <x v="2"/>
    <n v="68"/>
    <x v="5"/>
    <n v="3400"/>
    <n v="100"/>
    <n v="4"/>
    <n v="19"/>
    <x v="1"/>
  </r>
  <r>
    <s v="PO10347"/>
    <d v="2026-05-15T00:00:00"/>
    <x v="3"/>
    <x v="2"/>
    <x v="1"/>
    <x v="0"/>
    <n v="27"/>
    <x v="1"/>
    <n v="540"/>
    <n v="76"/>
    <n v="5"/>
    <n v="4"/>
    <x v="1"/>
  </r>
  <r>
    <s v="PO10348"/>
    <d v="2026-02-20T00:00:00"/>
    <x v="4"/>
    <x v="1"/>
    <x v="2"/>
    <x v="1"/>
    <n v="13"/>
    <x v="1"/>
    <n v="260"/>
    <n v="91"/>
    <n v="2"/>
    <n v="20"/>
    <x v="1"/>
  </r>
  <r>
    <s v="PO10349"/>
    <d v="2026-03-08T00:00:00"/>
    <x v="5"/>
    <x v="4"/>
    <x v="2"/>
    <x v="1"/>
    <n v="12"/>
    <x v="1"/>
    <n v="240"/>
    <n v="98"/>
    <n v="5"/>
    <n v="2"/>
    <x v="1"/>
  </r>
  <r>
    <s v="PO10350"/>
    <d v="2026-04-22T00:00:00"/>
    <x v="4"/>
    <x v="4"/>
    <x v="2"/>
    <x v="4"/>
    <n v="52"/>
    <x v="5"/>
    <n v="2600"/>
    <n v="71"/>
    <n v="2"/>
    <n v="3"/>
    <x v="1"/>
  </r>
  <r>
    <s v="PO10351"/>
    <d v="2026-04-18T00:00:00"/>
    <x v="2"/>
    <x v="3"/>
    <x v="0"/>
    <x v="0"/>
    <n v="46"/>
    <x v="5"/>
    <n v="2300"/>
    <n v="72"/>
    <n v="3"/>
    <n v="8"/>
    <x v="1"/>
  </r>
  <r>
    <s v="PO10352"/>
    <d v="2026-06-11T00:00:00"/>
    <x v="5"/>
    <x v="4"/>
    <x v="4"/>
    <x v="4"/>
    <n v="85"/>
    <x v="0"/>
    <n v="850"/>
    <n v="88"/>
    <n v="5"/>
    <n v="15"/>
    <x v="2"/>
  </r>
  <r>
    <s v="PO10353"/>
    <d v="2026-01-28T00:00:00"/>
    <x v="3"/>
    <x v="0"/>
    <x v="1"/>
    <x v="1"/>
    <n v="35"/>
    <x v="2"/>
    <n v="8750"/>
    <n v="83"/>
    <n v="4"/>
    <n v="19"/>
    <x v="1"/>
  </r>
  <r>
    <s v="PO10354"/>
    <d v="2026-05-21T00:00:00"/>
    <x v="5"/>
    <x v="3"/>
    <x v="0"/>
    <x v="2"/>
    <n v="85"/>
    <x v="2"/>
    <n v="21250"/>
    <n v="87"/>
    <n v="5"/>
    <n v="15"/>
    <x v="1"/>
  </r>
  <r>
    <s v="PO10355"/>
    <d v="2026-05-24T00:00:00"/>
    <x v="2"/>
    <x v="2"/>
    <x v="4"/>
    <x v="1"/>
    <n v="99"/>
    <x v="5"/>
    <n v="4950"/>
    <n v="82"/>
    <n v="2"/>
    <n v="8"/>
    <x v="0"/>
  </r>
  <r>
    <s v="PO10356"/>
    <d v="2026-05-11T00:00:00"/>
    <x v="1"/>
    <x v="0"/>
    <x v="0"/>
    <x v="3"/>
    <n v="49"/>
    <x v="0"/>
    <n v="490"/>
    <n v="95"/>
    <n v="2"/>
    <n v="17"/>
    <x v="1"/>
  </r>
  <r>
    <s v="PO10357"/>
    <d v="2026-03-02T00:00:00"/>
    <x v="3"/>
    <x v="1"/>
    <x v="0"/>
    <x v="0"/>
    <n v="6"/>
    <x v="0"/>
    <n v="60"/>
    <n v="80"/>
    <n v="2"/>
    <n v="19"/>
    <x v="1"/>
  </r>
  <r>
    <s v="PO10358"/>
    <d v="2026-02-04T00:00:00"/>
    <x v="4"/>
    <x v="0"/>
    <x v="4"/>
    <x v="2"/>
    <n v="43"/>
    <x v="5"/>
    <n v="2150"/>
    <n v="71"/>
    <n v="3"/>
    <n v="8"/>
    <x v="1"/>
  </r>
  <r>
    <s v="PO10359"/>
    <d v="2026-03-15T00:00:00"/>
    <x v="3"/>
    <x v="1"/>
    <x v="2"/>
    <x v="2"/>
    <n v="11"/>
    <x v="2"/>
    <n v="2750"/>
    <n v="80"/>
    <n v="5"/>
    <n v="8"/>
    <x v="1"/>
  </r>
  <r>
    <s v="PO10360"/>
    <d v="2026-02-26T00:00:00"/>
    <x v="4"/>
    <x v="0"/>
    <x v="0"/>
    <x v="2"/>
    <n v="60"/>
    <x v="4"/>
    <n v="6000"/>
    <n v="76"/>
    <n v="3"/>
    <n v="18"/>
    <x v="1"/>
  </r>
  <r>
    <s v="PO10361"/>
    <d v="2026-03-27T00:00:00"/>
    <x v="5"/>
    <x v="3"/>
    <x v="4"/>
    <x v="3"/>
    <n v="73"/>
    <x v="5"/>
    <n v="3650"/>
    <n v="90"/>
    <n v="3"/>
    <n v="8"/>
    <x v="1"/>
  </r>
  <r>
    <s v="PO10362"/>
    <d v="2026-06-02T00:00:00"/>
    <x v="0"/>
    <x v="4"/>
    <x v="3"/>
    <x v="3"/>
    <n v="23"/>
    <x v="3"/>
    <n v="115"/>
    <n v="76"/>
    <n v="4"/>
    <n v="4"/>
    <x v="1"/>
  </r>
  <r>
    <s v="PO10363"/>
    <d v="2026-04-22T00:00:00"/>
    <x v="4"/>
    <x v="1"/>
    <x v="3"/>
    <x v="1"/>
    <n v="99"/>
    <x v="5"/>
    <n v="4950"/>
    <n v="90"/>
    <n v="5"/>
    <n v="2"/>
    <x v="2"/>
  </r>
  <r>
    <s v="PO10364"/>
    <d v="2026-02-07T00:00:00"/>
    <x v="2"/>
    <x v="3"/>
    <x v="4"/>
    <x v="4"/>
    <n v="22"/>
    <x v="4"/>
    <n v="2200"/>
    <n v="74"/>
    <n v="3"/>
    <n v="9"/>
    <x v="2"/>
  </r>
  <r>
    <s v="PO10365"/>
    <d v="2026-03-14T00:00:00"/>
    <x v="1"/>
    <x v="0"/>
    <x v="3"/>
    <x v="1"/>
    <n v="61"/>
    <x v="2"/>
    <n v="15250"/>
    <n v="83"/>
    <n v="3"/>
    <n v="10"/>
    <x v="1"/>
  </r>
  <r>
    <s v="PO10366"/>
    <d v="2026-06-25T00:00:00"/>
    <x v="5"/>
    <x v="2"/>
    <x v="2"/>
    <x v="1"/>
    <n v="59"/>
    <x v="4"/>
    <n v="5900"/>
    <n v="72"/>
    <n v="2"/>
    <n v="9"/>
    <x v="1"/>
  </r>
  <r>
    <s v="PO10367"/>
    <d v="2026-02-23T00:00:00"/>
    <x v="3"/>
    <x v="4"/>
    <x v="3"/>
    <x v="4"/>
    <n v="64"/>
    <x v="5"/>
    <n v="3200"/>
    <n v="70"/>
    <n v="3"/>
    <n v="8"/>
    <x v="1"/>
  </r>
  <r>
    <s v="PO10368"/>
    <d v="2026-01-17T00:00:00"/>
    <x v="4"/>
    <x v="4"/>
    <x v="2"/>
    <x v="2"/>
    <n v="98"/>
    <x v="4"/>
    <n v="9800"/>
    <n v="86"/>
    <n v="4"/>
    <n v="6"/>
    <x v="1"/>
  </r>
  <r>
    <s v="PO10369"/>
    <d v="2026-02-21T00:00:00"/>
    <x v="0"/>
    <x v="0"/>
    <x v="3"/>
    <x v="1"/>
    <n v="62"/>
    <x v="0"/>
    <n v="620"/>
    <n v="98"/>
    <n v="5"/>
    <n v="9"/>
    <x v="1"/>
  </r>
  <r>
    <s v="PO10370"/>
    <d v="2026-04-12T00:00:00"/>
    <x v="0"/>
    <x v="1"/>
    <x v="0"/>
    <x v="1"/>
    <n v="6"/>
    <x v="5"/>
    <n v="300"/>
    <n v="96"/>
    <n v="4"/>
    <n v="19"/>
    <x v="1"/>
  </r>
  <r>
    <s v="PO10371"/>
    <d v="2026-02-20T00:00:00"/>
    <x v="5"/>
    <x v="1"/>
    <x v="4"/>
    <x v="0"/>
    <n v="7"/>
    <x v="5"/>
    <n v="350"/>
    <n v="85"/>
    <n v="4"/>
    <n v="18"/>
    <x v="1"/>
  </r>
  <r>
    <s v="PO10372"/>
    <d v="2026-05-16T00:00:00"/>
    <x v="0"/>
    <x v="4"/>
    <x v="0"/>
    <x v="1"/>
    <n v="65"/>
    <x v="3"/>
    <n v="325"/>
    <n v="76"/>
    <n v="3"/>
    <n v="15"/>
    <x v="1"/>
  </r>
  <r>
    <s v="PO10373"/>
    <d v="2026-03-14T00:00:00"/>
    <x v="3"/>
    <x v="2"/>
    <x v="0"/>
    <x v="0"/>
    <n v="9"/>
    <x v="2"/>
    <n v="2250"/>
    <n v="97"/>
    <n v="5"/>
    <n v="3"/>
    <x v="1"/>
  </r>
  <r>
    <s v="PO10374"/>
    <d v="2026-04-17T00:00:00"/>
    <x v="5"/>
    <x v="2"/>
    <x v="4"/>
    <x v="4"/>
    <n v="33"/>
    <x v="4"/>
    <n v="3300"/>
    <n v="99"/>
    <n v="3"/>
    <n v="10"/>
    <x v="1"/>
  </r>
  <r>
    <s v="PO10375"/>
    <d v="2026-06-26T00:00:00"/>
    <x v="5"/>
    <x v="4"/>
    <x v="3"/>
    <x v="0"/>
    <n v="61"/>
    <x v="3"/>
    <n v="305"/>
    <n v="90"/>
    <n v="5"/>
    <n v="14"/>
    <x v="1"/>
  </r>
  <r>
    <s v="PO10376"/>
    <d v="2026-02-18T00:00:00"/>
    <x v="1"/>
    <x v="4"/>
    <x v="2"/>
    <x v="4"/>
    <n v="12"/>
    <x v="5"/>
    <n v="600"/>
    <n v="92"/>
    <n v="4"/>
    <n v="2"/>
    <x v="1"/>
  </r>
  <r>
    <s v="PO10377"/>
    <d v="2026-05-02T00:00:00"/>
    <x v="2"/>
    <x v="3"/>
    <x v="4"/>
    <x v="1"/>
    <n v="12"/>
    <x v="3"/>
    <n v="60"/>
    <n v="81"/>
    <n v="3"/>
    <n v="9"/>
    <x v="2"/>
  </r>
  <r>
    <s v="PO10378"/>
    <d v="2026-03-26T00:00:00"/>
    <x v="1"/>
    <x v="3"/>
    <x v="0"/>
    <x v="1"/>
    <n v="41"/>
    <x v="2"/>
    <n v="10250"/>
    <n v="80"/>
    <n v="3"/>
    <n v="8"/>
    <x v="1"/>
  </r>
  <r>
    <s v="PO10379"/>
    <d v="2026-05-03T00:00:00"/>
    <x v="0"/>
    <x v="1"/>
    <x v="2"/>
    <x v="2"/>
    <n v="89"/>
    <x v="2"/>
    <n v="22250"/>
    <n v="96"/>
    <n v="2"/>
    <n v="20"/>
    <x v="0"/>
  </r>
  <r>
    <s v="PO10380"/>
    <d v="2026-05-27T00:00:00"/>
    <x v="2"/>
    <x v="0"/>
    <x v="1"/>
    <x v="2"/>
    <n v="32"/>
    <x v="5"/>
    <n v="1600"/>
    <n v="89"/>
    <n v="4"/>
    <n v="17"/>
    <x v="1"/>
  </r>
  <r>
    <s v="PO10381"/>
    <d v="2026-04-16T00:00:00"/>
    <x v="3"/>
    <x v="3"/>
    <x v="0"/>
    <x v="4"/>
    <n v="17"/>
    <x v="0"/>
    <n v="170"/>
    <n v="81"/>
    <n v="3"/>
    <n v="7"/>
    <x v="1"/>
  </r>
  <r>
    <s v="PO10382"/>
    <d v="2026-03-07T00:00:00"/>
    <x v="5"/>
    <x v="4"/>
    <x v="1"/>
    <x v="2"/>
    <n v="62"/>
    <x v="3"/>
    <n v="310"/>
    <n v="70"/>
    <n v="5"/>
    <n v="18"/>
    <x v="1"/>
  </r>
  <r>
    <s v="PO10383"/>
    <d v="2026-06-10T00:00:00"/>
    <x v="0"/>
    <x v="2"/>
    <x v="4"/>
    <x v="3"/>
    <n v="39"/>
    <x v="4"/>
    <n v="3900"/>
    <n v="80"/>
    <n v="2"/>
    <n v="3"/>
    <x v="1"/>
  </r>
  <r>
    <s v="PO10384"/>
    <d v="2026-03-08T00:00:00"/>
    <x v="0"/>
    <x v="4"/>
    <x v="3"/>
    <x v="1"/>
    <n v="91"/>
    <x v="3"/>
    <n v="455"/>
    <n v="98"/>
    <n v="3"/>
    <n v="13"/>
    <x v="1"/>
  </r>
  <r>
    <s v="PO10385"/>
    <d v="2026-01-25T00:00:00"/>
    <x v="4"/>
    <x v="0"/>
    <x v="4"/>
    <x v="3"/>
    <n v="44"/>
    <x v="4"/>
    <n v="4400"/>
    <n v="70"/>
    <n v="2"/>
    <n v="18"/>
    <x v="1"/>
  </r>
  <r>
    <s v="PO10386"/>
    <d v="2026-01-03T00:00:00"/>
    <x v="5"/>
    <x v="2"/>
    <x v="3"/>
    <x v="2"/>
    <n v="6"/>
    <x v="5"/>
    <n v="300"/>
    <n v="85"/>
    <n v="5"/>
    <n v="7"/>
    <x v="1"/>
  </r>
  <r>
    <s v="PO10387"/>
    <d v="2026-06-03T00:00:00"/>
    <x v="5"/>
    <x v="4"/>
    <x v="2"/>
    <x v="1"/>
    <n v="70"/>
    <x v="1"/>
    <n v="1400"/>
    <n v="86"/>
    <n v="3"/>
    <n v="7"/>
    <x v="1"/>
  </r>
  <r>
    <s v="PO10388"/>
    <d v="2026-01-15T00:00:00"/>
    <x v="2"/>
    <x v="3"/>
    <x v="0"/>
    <x v="0"/>
    <n v="53"/>
    <x v="4"/>
    <n v="5300"/>
    <n v="94"/>
    <n v="3"/>
    <n v="3"/>
    <x v="1"/>
  </r>
  <r>
    <s v="PO10389"/>
    <d v="2026-02-24T00:00:00"/>
    <x v="4"/>
    <x v="4"/>
    <x v="4"/>
    <x v="2"/>
    <n v="98"/>
    <x v="4"/>
    <n v="9800"/>
    <n v="73"/>
    <n v="3"/>
    <n v="11"/>
    <x v="1"/>
  </r>
  <r>
    <s v="PO10390"/>
    <d v="2026-01-02T00:00:00"/>
    <x v="2"/>
    <x v="2"/>
    <x v="0"/>
    <x v="1"/>
    <n v="5"/>
    <x v="2"/>
    <n v="1250"/>
    <n v="100"/>
    <n v="4"/>
    <n v="17"/>
    <x v="1"/>
  </r>
  <r>
    <s v="PO10391"/>
    <d v="2026-03-02T00:00:00"/>
    <x v="4"/>
    <x v="3"/>
    <x v="4"/>
    <x v="1"/>
    <n v="84"/>
    <x v="0"/>
    <n v="840"/>
    <n v="85"/>
    <n v="5"/>
    <n v="7"/>
    <x v="1"/>
  </r>
  <r>
    <s v="PO10392"/>
    <d v="2026-01-06T00:00:00"/>
    <x v="0"/>
    <x v="4"/>
    <x v="3"/>
    <x v="2"/>
    <n v="75"/>
    <x v="4"/>
    <n v="7500"/>
    <n v="90"/>
    <n v="4"/>
    <n v="12"/>
    <x v="1"/>
  </r>
  <r>
    <s v="PO10393"/>
    <d v="2026-05-09T00:00:00"/>
    <x v="3"/>
    <x v="0"/>
    <x v="0"/>
    <x v="3"/>
    <n v="64"/>
    <x v="2"/>
    <n v="16000"/>
    <n v="97"/>
    <n v="5"/>
    <n v="18"/>
    <x v="1"/>
  </r>
  <r>
    <s v="PO10394"/>
    <d v="2026-02-16T00:00:00"/>
    <x v="0"/>
    <x v="2"/>
    <x v="0"/>
    <x v="1"/>
    <n v="24"/>
    <x v="4"/>
    <n v="2400"/>
    <n v="73"/>
    <n v="3"/>
    <n v="5"/>
    <x v="1"/>
  </r>
  <r>
    <s v="PO10395"/>
    <d v="2026-05-13T00:00:00"/>
    <x v="2"/>
    <x v="0"/>
    <x v="0"/>
    <x v="4"/>
    <n v="67"/>
    <x v="4"/>
    <n v="6700"/>
    <n v="78"/>
    <n v="4"/>
    <n v="10"/>
    <x v="1"/>
  </r>
  <r>
    <s v="PO10396"/>
    <d v="2026-02-04T00:00:00"/>
    <x v="3"/>
    <x v="0"/>
    <x v="4"/>
    <x v="2"/>
    <n v="61"/>
    <x v="3"/>
    <n v="305"/>
    <n v="88"/>
    <n v="3"/>
    <n v="19"/>
    <x v="2"/>
  </r>
  <r>
    <s v="PO10397"/>
    <d v="2026-02-09T00:00:00"/>
    <x v="1"/>
    <x v="1"/>
    <x v="2"/>
    <x v="4"/>
    <n v="26"/>
    <x v="5"/>
    <n v="1300"/>
    <n v="97"/>
    <n v="4"/>
    <n v="12"/>
    <x v="1"/>
  </r>
  <r>
    <s v="PO10398"/>
    <d v="2026-05-04T00:00:00"/>
    <x v="4"/>
    <x v="2"/>
    <x v="0"/>
    <x v="4"/>
    <n v="74"/>
    <x v="3"/>
    <n v="370"/>
    <n v="82"/>
    <n v="4"/>
    <n v="5"/>
    <x v="1"/>
  </r>
  <r>
    <s v="PO10399"/>
    <d v="2026-05-28T00:00:00"/>
    <x v="1"/>
    <x v="3"/>
    <x v="1"/>
    <x v="1"/>
    <n v="9"/>
    <x v="0"/>
    <n v="90"/>
    <n v="95"/>
    <n v="3"/>
    <n v="6"/>
    <x v="2"/>
  </r>
  <r>
    <s v="PO10400"/>
    <d v="2026-02-04T00:00:00"/>
    <x v="3"/>
    <x v="2"/>
    <x v="4"/>
    <x v="2"/>
    <n v="69"/>
    <x v="4"/>
    <n v="6900"/>
    <n v="98"/>
    <n v="3"/>
    <n v="11"/>
    <x v="0"/>
  </r>
  <r>
    <s v="PO10401"/>
    <d v="2026-06-19T00:00:00"/>
    <x v="3"/>
    <x v="0"/>
    <x v="2"/>
    <x v="2"/>
    <n v="19"/>
    <x v="5"/>
    <n v="950"/>
    <n v="87"/>
    <n v="5"/>
    <n v="10"/>
    <x v="1"/>
  </r>
  <r>
    <s v="PO10402"/>
    <d v="2026-03-21T00:00:00"/>
    <x v="2"/>
    <x v="1"/>
    <x v="2"/>
    <x v="3"/>
    <n v="93"/>
    <x v="3"/>
    <n v="465"/>
    <n v="70"/>
    <n v="2"/>
    <n v="20"/>
    <x v="2"/>
  </r>
  <r>
    <s v="PO10403"/>
    <d v="2026-02-11T00:00:00"/>
    <x v="1"/>
    <x v="2"/>
    <x v="0"/>
    <x v="3"/>
    <n v="98"/>
    <x v="2"/>
    <n v="24500"/>
    <n v="82"/>
    <n v="2"/>
    <n v="15"/>
    <x v="1"/>
  </r>
  <r>
    <s v="PO10404"/>
    <d v="2026-05-07T00:00:00"/>
    <x v="4"/>
    <x v="2"/>
    <x v="3"/>
    <x v="2"/>
    <n v="7"/>
    <x v="3"/>
    <n v="35"/>
    <n v="82"/>
    <n v="4"/>
    <n v="16"/>
    <x v="1"/>
  </r>
  <r>
    <s v="PO10405"/>
    <d v="2026-06-16T00:00:00"/>
    <x v="1"/>
    <x v="4"/>
    <x v="0"/>
    <x v="4"/>
    <n v="84"/>
    <x v="3"/>
    <n v="420"/>
    <n v="80"/>
    <n v="2"/>
    <n v="9"/>
    <x v="2"/>
  </r>
  <r>
    <s v="PO10406"/>
    <d v="2026-01-20T00:00:00"/>
    <x v="1"/>
    <x v="3"/>
    <x v="1"/>
    <x v="3"/>
    <n v="78"/>
    <x v="0"/>
    <n v="780"/>
    <n v="82"/>
    <n v="5"/>
    <n v="8"/>
    <x v="1"/>
  </r>
  <r>
    <s v="PO10407"/>
    <d v="2026-06-09T00:00:00"/>
    <x v="0"/>
    <x v="4"/>
    <x v="0"/>
    <x v="3"/>
    <n v="58"/>
    <x v="4"/>
    <n v="5800"/>
    <n v="84"/>
    <n v="5"/>
    <n v="17"/>
    <x v="1"/>
  </r>
  <r>
    <s v="PO10408"/>
    <d v="2026-04-13T00:00:00"/>
    <x v="1"/>
    <x v="2"/>
    <x v="1"/>
    <x v="3"/>
    <n v="67"/>
    <x v="5"/>
    <n v="3350"/>
    <n v="85"/>
    <n v="3"/>
    <n v="20"/>
    <x v="2"/>
  </r>
  <r>
    <s v="PO10409"/>
    <d v="2026-05-06T00:00:00"/>
    <x v="0"/>
    <x v="3"/>
    <x v="2"/>
    <x v="3"/>
    <n v="83"/>
    <x v="4"/>
    <n v="8300"/>
    <n v="86"/>
    <n v="4"/>
    <n v="19"/>
    <x v="1"/>
  </r>
  <r>
    <s v="PO10410"/>
    <d v="2026-02-20T00:00:00"/>
    <x v="3"/>
    <x v="3"/>
    <x v="2"/>
    <x v="0"/>
    <n v="100"/>
    <x v="5"/>
    <n v="5000"/>
    <n v="80"/>
    <n v="3"/>
    <n v="5"/>
    <x v="1"/>
  </r>
  <r>
    <s v="PO10411"/>
    <d v="2026-03-18T00:00:00"/>
    <x v="3"/>
    <x v="3"/>
    <x v="4"/>
    <x v="0"/>
    <n v="59"/>
    <x v="3"/>
    <n v="295"/>
    <n v="70"/>
    <n v="3"/>
    <n v="20"/>
    <x v="2"/>
  </r>
  <r>
    <s v="PO10412"/>
    <d v="2026-02-14T00:00:00"/>
    <x v="2"/>
    <x v="2"/>
    <x v="0"/>
    <x v="0"/>
    <n v="70"/>
    <x v="1"/>
    <n v="1400"/>
    <n v="100"/>
    <n v="3"/>
    <n v="15"/>
    <x v="1"/>
  </r>
  <r>
    <s v="PO10413"/>
    <d v="2026-04-27T00:00:00"/>
    <x v="0"/>
    <x v="4"/>
    <x v="3"/>
    <x v="3"/>
    <n v="75"/>
    <x v="5"/>
    <n v="3750"/>
    <n v="71"/>
    <n v="2"/>
    <n v="3"/>
    <x v="1"/>
  </r>
  <r>
    <s v="PO10414"/>
    <d v="2026-03-21T00:00:00"/>
    <x v="3"/>
    <x v="0"/>
    <x v="4"/>
    <x v="3"/>
    <n v="20"/>
    <x v="0"/>
    <n v="200"/>
    <n v="85"/>
    <n v="5"/>
    <n v="11"/>
    <x v="1"/>
  </r>
  <r>
    <s v="PO10415"/>
    <d v="2026-03-14T00:00:00"/>
    <x v="4"/>
    <x v="1"/>
    <x v="1"/>
    <x v="1"/>
    <n v="63"/>
    <x v="4"/>
    <n v="6300"/>
    <n v="94"/>
    <n v="5"/>
    <n v="5"/>
    <x v="1"/>
  </r>
  <r>
    <s v="PO10416"/>
    <d v="2026-04-12T00:00:00"/>
    <x v="0"/>
    <x v="2"/>
    <x v="0"/>
    <x v="2"/>
    <n v="33"/>
    <x v="3"/>
    <n v="165"/>
    <n v="76"/>
    <n v="2"/>
    <n v="11"/>
    <x v="1"/>
  </r>
  <r>
    <s v="PO10417"/>
    <d v="2026-05-02T00:00:00"/>
    <x v="1"/>
    <x v="4"/>
    <x v="4"/>
    <x v="0"/>
    <n v="71"/>
    <x v="3"/>
    <n v="355"/>
    <n v="71"/>
    <n v="2"/>
    <n v="13"/>
    <x v="1"/>
  </r>
  <r>
    <s v="PO10418"/>
    <d v="2026-02-18T00:00:00"/>
    <x v="3"/>
    <x v="0"/>
    <x v="3"/>
    <x v="3"/>
    <n v="78"/>
    <x v="4"/>
    <n v="7800"/>
    <n v="82"/>
    <n v="4"/>
    <n v="8"/>
    <x v="1"/>
  </r>
  <r>
    <s v="PO10419"/>
    <d v="2026-01-25T00:00:00"/>
    <x v="1"/>
    <x v="2"/>
    <x v="0"/>
    <x v="0"/>
    <n v="95"/>
    <x v="5"/>
    <n v="4750"/>
    <n v="81"/>
    <n v="3"/>
    <n v="11"/>
    <x v="1"/>
  </r>
  <r>
    <s v="PO10420"/>
    <d v="2026-02-20T00:00:00"/>
    <x v="0"/>
    <x v="0"/>
    <x v="3"/>
    <x v="3"/>
    <n v="30"/>
    <x v="5"/>
    <n v="1500"/>
    <n v="88"/>
    <n v="4"/>
    <n v="12"/>
    <x v="1"/>
  </r>
  <r>
    <s v="PO10421"/>
    <d v="2026-01-10T00:00:00"/>
    <x v="1"/>
    <x v="1"/>
    <x v="1"/>
    <x v="0"/>
    <n v="75"/>
    <x v="2"/>
    <n v="18750"/>
    <n v="79"/>
    <n v="4"/>
    <n v="8"/>
    <x v="1"/>
  </r>
  <r>
    <s v="PO10422"/>
    <d v="2026-05-21T00:00:00"/>
    <x v="1"/>
    <x v="3"/>
    <x v="1"/>
    <x v="0"/>
    <n v="21"/>
    <x v="3"/>
    <n v="105"/>
    <n v="94"/>
    <n v="2"/>
    <n v="6"/>
    <x v="1"/>
  </r>
  <r>
    <s v="PO10423"/>
    <d v="2026-01-21T00:00:00"/>
    <x v="2"/>
    <x v="2"/>
    <x v="1"/>
    <x v="4"/>
    <n v="84"/>
    <x v="3"/>
    <n v="420"/>
    <n v="84"/>
    <n v="2"/>
    <n v="16"/>
    <x v="2"/>
  </r>
  <r>
    <s v="PO10424"/>
    <d v="2026-02-21T00:00:00"/>
    <x v="2"/>
    <x v="2"/>
    <x v="3"/>
    <x v="0"/>
    <n v="87"/>
    <x v="5"/>
    <n v="4350"/>
    <n v="87"/>
    <n v="3"/>
    <n v="6"/>
    <x v="1"/>
  </r>
  <r>
    <s v="PO10425"/>
    <d v="2026-03-03T00:00:00"/>
    <x v="5"/>
    <x v="2"/>
    <x v="2"/>
    <x v="4"/>
    <n v="49"/>
    <x v="1"/>
    <n v="980"/>
    <n v="76"/>
    <n v="2"/>
    <n v="8"/>
    <x v="2"/>
  </r>
  <r>
    <s v="PO10426"/>
    <d v="2026-02-21T00:00:00"/>
    <x v="0"/>
    <x v="4"/>
    <x v="1"/>
    <x v="2"/>
    <n v="76"/>
    <x v="4"/>
    <n v="7600"/>
    <n v="92"/>
    <n v="3"/>
    <n v="4"/>
    <x v="1"/>
  </r>
  <r>
    <s v="PO10427"/>
    <d v="2026-05-27T00:00:00"/>
    <x v="5"/>
    <x v="4"/>
    <x v="4"/>
    <x v="0"/>
    <n v="29"/>
    <x v="2"/>
    <n v="7250"/>
    <n v="95"/>
    <n v="5"/>
    <n v="19"/>
    <x v="1"/>
  </r>
  <r>
    <s v="PO10428"/>
    <d v="2026-03-20T00:00:00"/>
    <x v="3"/>
    <x v="0"/>
    <x v="2"/>
    <x v="1"/>
    <n v="21"/>
    <x v="0"/>
    <n v="210"/>
    <n v="74"/>
    <n v="3"/>
    <n v="19"/>
    <x v="1"/>
  </r>
  <r>
    <s v="PO10429"/>
    <d v="2026-03-20T00:00:00"/>
    <x v="2"/>
    <x v="2"/>
    <x v="4"/>
    <x v="3"/>
    <n v="86"/>
    <x v="5"/>
    <n v="4300"/>
    <n v="82"/>
    <n v="3"/>
    <n v="10"/>
    <x v="1"/>
  </r>
  <r>
    <s v="PO10430"/>
    <d v="2026-04-07T00:00:00"/>
    <x v="3"/>
    <x v="3"/>
    <x v="2"/>
    <x v="0"/>
    <n v="38"/>
    <x v="5"/>
    <n v="1900"/>
    <n v="80"/>
    <n v="5"/>
    <n v="19"/>
    <x v="0"/>
  </r>
  <r>
    <s v="PO10431"/>
    <d v="2026-05-03T00:00:00"/>
    <x v="5"/>
    <x v="3"/>
    <x v="3"/>
    <x v="2"/>
    <n v="58"/>
    <x v="4"/>
    <n v="5800"/>
    <n v="81"/>
    <n v="3"/>
    <n v="13"/>
    <x v="1"/>
  </r>
  <r>
    <s v="PO10432"/>
    <d v="2026-02-27T00:00:00"/>
    <x v="1"/>
    <x v="0"/>
    <x v="1"/>
    <x v="0"/>
    <n v="87"/>
    <x v="2"/>
    <n v="21750"/>
    <n v="77"/>
    <n v="4"/>
    <n v="20"/>
    <x v="1"/>
  </r>
  <r>
    <s v="PO10433"/>
    <d v="2026-05-14T00:00:00"/>
    <x v="5"/>
    <x v="3"/>
    <x v="0"/>
    <x v="0"/>
    <n v="3"/>
    <x v="4"/>
    <n v="300"/>
    <n v="70"/>
    <n v="2"/>
    <n v="14"/>
    <x v="1"/>
  </r>
  <r>
    <s v="PO10434"/>
    <d v="2026-05-04T00:00:00"/>
    <x v="4"/>
    <x v="1"/>
    <x v="4"/>
    <x v="2"/>
    <n v="63"/>
    <x v="5"/>
    <n v="3150"/>
    <n v="96"/>
    <n v="3"/>
    <n v="19"/>
    <x v="1"/>
  </r>
  <r>
    <s v="PO10435"/>
    <d v="2026-01-19T00:00:00"/>
    <x v="3"/>
    <x v="0"/>
    <x v="3"/>
    <x v="2"/>
    <n v="76"/>
    <x v="2"/>
    <n v="19000"/>
    <n v="80"/>
    <n v="5"/>
    <n v="5"/>
    <x v="1"/>
  </r>
  <r>
    <s v="PO10436"/>
    <d v="2026-02-04T00:00:00"/>
    <x v="3"/>
    <x v="0"/>
    <x v="0"/>
    <x v="1"/>
    <n v="63"/>
    <x v="3"/>
    <n v="315"/>
    <n v="70"/>
    <n v="3"/>
    <n v="2"/>
    <x v="1"/>
  </r>
  <r>
    <s v="PO10437"/>
    <d v="2026-05-11T00:00:00"/>
    <x v="0"/>
    <x v="1"/>
    <x v="0"/>
    <x v="1"/>
    <n v="26"/>
    <x v="4"/>
    <n v="2600"/>
    <n v="78"/>
    <n v="5"/>
    <n v="19"/>
    <x v="2"/>
  </r>
  <r>
    <s v="PO10438"/>
    <d v="2026-04-07T00:00:00"/>
    <x v="5"/>
    <x v="0"/>
    <x v="0"/>
    <x v="1"/>
    <n v="34"/>
    <x v="3"/>
    <n v="170"/>
    <n v="94"/>
    <n v="3"/>
    <n v="10"/>
    <x v="1"/>
  </r>
  <r>
    <s v="PO10439"/>
    <d v="2026-01-27T00:00:00"/>
    <x v="1"/>
    <x v="0"/>
    <x v="1"/>
    <x v="1"/>
    <n v="82"/>
    <x v="0"/>
    <n v="820"/>
    <n v="89"/>
    <n v="3"/>
    <n v="19"/>
    <x v="1"/>
  </r>
  <r>
    <s v="PO10440"/>
    <d v="2026-03-17T00:00:00"/>
    <x v="4"/>
    <x v="3"/>
    <x v="2"/>
    <x v="0"/>
    <n v="2"/>
    <x v="2"/>
    <n v="500"/>
    <n v="91"/>
    <n v="5"/>
    <n v="17"/>
    <x v="1"/>
  </r>
  <r>
    <s v="PO10441"/>
    <d v="2026-01-04T00:00:00"/>
    <x v="4"/>
    <x v="4"/>
    <x v="1"/>
    <x v="0"/>
    <n v="82"/>
    <x v="5"/>
    <n v="4100"/>
    <n v="71"/>
    <n v="5"/>
    <n v="3"/>
    <x v="2"/>
  </r>
  <r>
    <s v="PO10442"/>
    <d v="2026-04-22T00:00:00"/>
    <x v="3"/>
    <x v="3"/>
    <x v="1"/>
    <x v="4"/>
    <n v="53"/>
    <x v="0"/>
    <n v="530"/>
    <n v="91"/>
    <n v="5"/>
    <n v="6"/>
    <x v="1"/>
  </r>
  <r>
    <s v="PO10443"/>
    <d v="2026-06-07T00:00:00"/>
    <x v="2"/>
    <x v="3"/>
    <x v="1"/>
    <x v="0"/>
    <n v="83"/>
    <x v="0"/>
    <n v="830"/>
    <n v="81"/>
    <n v="2"/>
    <n v="20"/>
    <x v="1"/>
  </r>
  <r>
    <s v="PO10444"/>
    <d v="2026-06-04T00:00:00"/>
    <x v="2"/>
    <x v="0"/>
    <x v="1"/>
    <x v="4"/>
    <n v="51"/>
    <x v="1"/>
    <n v="1020"/>
    <n v="97"/>
    <n v="3"/>
    <n v="5"/>
    <x v="1"/>
  </r>
  <r>
    <s v="PO10445"/>
    <d v="2026-01-20T00:00:00"/>
    <x v="4"/>
    <x v="4"/>
    <x v="2"/>
    <x v="2"/>
    <n v="39"/>
    <x v="1"/>
    <n v="780"/>
    <n v="80"/>
    <n v="5"/>
    <n v="5"/>
    <x v="1"/>
  </r>
  <r>
    <s v="PO10446"/>
    <d v="2026-04-07T00:00:00"/>
    <x v="2"/>
    <x v="3"/>
    <x v="1"/>
    <x v="1"/>
    <n v="10"/>
    <x v="1"/>
    <n v="200"/>
    <n v="93"/>
    <n v="5"/>
    <n v="7"/>
    <x v="1"/>
  </r>
  <r>
    <s v="PO10447"/>
    <d v="2026-02-02T00:00:00"/>
    <x v="0"/>
    <x v="0"/>
    <x v="0"/>
    <x v="1"/>
    <n v="92"/>
    <x v="5"/>
    <n v="4600"/>
    <n v="78"/>
    <n v="4"/>
    <n v="16"/>
    <x v="1"/>
  </r>
  <r>
    <s v="PO10448"/>
    <d v="2026-06-08T00:00:00"/>
    <x v="4"/>
    <x v="2"/>
    <x v="4"/>
    <x v="1"/>
    <n v="20"/>
    <x v="5"/>
    <n v="1000"/>
    <n v="100"/>
    <n v="4"/>
    <n v="20"/>
    <x v="1"/>
  </r>
  <r>
    <s v="PO10449"/>
    <d v="2026-05-06T00:00:00"/>
    <x v="5"/>
    <x v="1"/>
    <x v="3"/>
    <x v="3"/>
    <n v="9"/>
    <x v="1"/>
    <n v="180"/>
    <n v="82"/>
    <n v="2"/>
    <n v="16"/>
    <x v="1"/>
  </r>
  <r>
    <s v="PO10450"/>
    <d v="2026-06-12T00:00:00"/>
    <x v="1"/>
    <x v="1"/>
    <x v="1"/>
    <x v="2"/>
    <n v="3"/>
    <x v="0"/>
    <n v="30"/>
    <n v="91"/>
    <n v="4"/>
    <n v="7"/>
    <x v="2"/>
  </r>
  <r>
    <s v="PO10451"/>
    <d v="2026-01-04T00:00:00"/>
    <x v="5"/>
    <x v="3"/>
    <x v="1"/>
    <x v="0"/>
    <n v="48"/>
    <x v="4"/>
    <n v="4800"/>
    <n v="73"/>
    <n v="3"/>
    <n v="16"/>
    <x v="1"/>
  </r>
  <r>
    <s v="PO10452"/>
    <d v="2026-02-20T00:00:00"/>
    <x v="0"/>
    <x v="4"/>
    <x v="0"/>
    <x v="4"/>
    <n v="70"/>
    <x v="5"/>
    <n v="3500"/>
    <n v="74"/>
    <n v="2"/>
    <n v="14"/>
    <x v="1"/>
  </r>
  <r>
    <s v="PO10453"/>
    <d v="2026-04-03T00:00:00"/>
    <x v="5"/>
    <x v="3"/>
    <x v="3"/>
    <x v="0"/>
    <n v="8"/>
    <x v="5"/>
    <n v="400"/>
    <n v="75"/>
    <n v="3"/>
    <n v="7"/>
    <x v="1"/>
  </r>
  <r>
    <s v="PO10454"/>
    <d v="2026-04-12T00:00:00"/>
    <x v="1"/>
    <x v="4"/>
    <x v="3"/>
    <x v="2"/>
    <n v="3"/>
    <x v="5"/>
    <n v="150"/>
    <n v="84"/>
    <n v="3"/>
    <n v="2"/>
    <x v="0"/>
  </r>
  <r>
    <s v="PO10455"/>
    <d v="2026-02-23T00:00:00"/>
    <x v="0"/>
    <x v="1"/>
    <x v="3"/>
    <x v="1"/>
    <n v="50"/>
    <x v="0"/>
    <n v="500"/>
    <n v="92"/>
    <n v="2"/>
    <n v="17"/>
    <x v="1"/>
  </r>
  <r>
    <s v="PO10456"/>
    <d v="2026-06-08T00:00:00"/>
    <x v="3"/>
    <x v="4"/>
    <x v="4"/>
    <x v="1"/>
    <n v="100"/>
    <x v="0"/>
    <n v="1000"/>
    <n v="71"/>
    <n v="5"/>
    <n v="15"/>
    <x v="1"/>
  </r>
  <r>
    <s v="PO10457"/>
    <d v="2026-03-14T00:00:00"/>
    <x v="3"/>
    <x v="1"/>
    <x v="4"/>
    <x v="3"/>
    <n v="19"/>
    <x v="0"/>
    <n v="190"/>
    <n v="86"/>
    <n v="5"/>
    <n v="20"/>
    <x v="1"/>
  </r>
  <r>
    <s v="PO10458"/>
    <d v="2026-05-07T00:00:00"/>
    <x v="3"/>
    <x v="2"/>
    <x v="2"/>
    <x v="3"/>
    <n v="28"/>
    <x v="3"/>
    <n v="140"/>
    <n v="74"/>
    <n v="4"/>
    <n v="12"/>
    <x v="1"/>
  </r>
  <r>
    <s v="PO10459"/>
    <d v="2026-01-22T00:00:00"/>
    <x v="0"/>
    <x v="1"/>
    <x v="3"/>
    <x v="0"/>
    <n v="16"/>
    <x v="4"/>
    <n v="1600"/>
    <n v="82"/>
    <n v="3"/>
    <n v="12"/>
    <x v="1"/>
  </r>
  <r>
    <s v="PO10460"/>
    <d v="2026-01-14T00:00:00"/>
    <x v="3"/>
    <x v="2"/>
    <x v="3"/>
    <x v="4"/>
    <n v="21"/>
    <x v="3"/>
    <n v="105"/>
    <n v="100"/>
    <n v="4"/>
    <n v="5"/>
    <x v="1"/>
  </r>
  <r>
    <s v="PO10461"/>
    <d v="2026-03-09T00:00:00"/>
    <x v="0"/>
    <x v="0"/>
    <x v="4"/>
    <x v="1"/>
    <n v="51"/>
    <x v="2"/>
    <n v="12750"/>
    <n v="90"/>
    <n v="3"/>
    <n v="4"/>
    <x v="1"/>
  </r>
  <r>
    <s v="PO10462"/>
    <d v="2026-01-15T00:00:00"/>
    <x v="2"/>
    <x v="3"/>
    <x v="3"/>
    <x v="2"/>
    <n v="20"/>
    <x v="4"/>
    <n v="2000"/>
    <n v="94"/>
    <n v="3"/>
    <n v="2"/>
    <x v="1"/>
  </r>
  <r>
    <s v="PO10463"/>
    <d v="2026-04-07T00:00:00"/>
    <x v="0"/>
    <x v="3"/>
    <x v="0"/>
    <x v="3"/>
    <n v="24"/>
    <x v="0"/>
    <n v="240"/>
    <n v="83"/>
    <n v="4"/>
    <n v="17"/>
    <x v="1"/>
  </r>
  <r>
    <s v="PO10464"/>
    <d v="2026-02-12T00:00:00"/>
    <x v="5"/>
    <x v="1"/>
    <x v="4"/>
    <x v="1"/>
    <n v="17"/>
    <x v="1"/>
    <n v="340"/>
    <n v="76"/>
    <n v="3"/>
    <n v="7"/>
    <x v="1"/>
  </r>
  <r>
    <s v="PO10465"/>
    <d v="2026-01-19T00:00:00"/>
    <x v="0"/>
    <x v="1"/>
    <x v="1"/>
    <x v="0"/>
    <n v="10"/>
    <x v="0"/>
    <n v="100"/>
    <n v="100"/>
    <n v="5"/>
    <n v="16"/>
    <x v="2"/>
  </r>
  <r>
    <s v="PO10466"/>
    <d v="2026-01-08T00:00:00"/>
    <x v="4"/>
    <x v="0"/>
    <x v="0"/>
    <x v="0"/>
    <n v="68"/>
    <x v="0"/>
    <n v="680"/>
    <n v="82"/>
    <n v="2"/>
    <n v="2"/>
    <x v="1"/>
  </r>
  <r>
    <s v="PO10467"/>
    <d v="2026-02-16T00:00:00"/>
    <x v="4"/>
    <x v="4"/>
    <x v="2"/>
    <x v="3"/>
    <n v="86"/>
    <x v="4"/>
    <n v="8600"/>
    <n v="78"/>
    <n v="5"/>
    <n v="16"/>
    <x v="1"/>
  </r>
  <r>
    <s v="PO10468"/>
    <d v="2026-03-24T00:00:00"/>
    <x v="3"/>
    <x v="2"/>
    <x v="0"/>
    <x v="1"/>
    <n v="51"/>
    <x v="4"/>
    <n v="5100"/>
    <n v="72"/>
    <n v="5"/>
    <n v="3"/>
    <x v="1"/>
  </r>
  <r>
    <s v="PO10469"/>
    <d v="2026-01-15T00:00:00"/>
    <x v="3"/>
    <x v="2"/>
    <x v="3"/>
    <x v="0"/>
    <n v="1"/>
    <x v="1"/>
    <n v="20"/>
    <n v="75"/>
    <n v="2"/>
    <n v="7"/>
    <x v="1"/>
  </r>
  <r>
    <s v="PO10470"/>
    <d v="2026-02-05T00:00:00"/>
    <x v="3"/>
    <x v="1"/>
    <x v="3"/>
    <x v="1"/>
    <n v="52"/>
    <x v="1"/>
    <n v="1040"/>
    <n v="78"/>
    <n v="3"/>
    <n v="14"/>
    <x v="1"/>
  </r>
  <r>
    <s v="PO10471"/>
    <d v="2026-06-12T00:00:00"/>
    <x v="0"/>
    <x v="2"/>
    <x v="2"/>
    <x v="1"/>
    <n v="80"/>
    <x v="2"/>
    <n v="20000"/>
    <n v="85"/>
    <n v="3"/>
    <n v="6"/>
    <x v="1"/>
  </r>
  <r>
    <s v="PO10472"/>
    <d v="2026-01-14T00:00:00"/>
    <x v="0"/>
    <x v="0"/>
    <x v="1"/>
    <x v="2"/>
    <n v="58"/>
    <x v="0"/>
    <n v="580"/>
    <n v="98"/>
    <n v="2"/>
    <n v="3"/>
    <x v="1"/>
  </r>
  <r>
    <s v="PO10473"/>
    <d v="2026-04-14T00:00:00"/>
    <x v="5"/>
    <x v="4"/>
    <x v="1"/>
    <x v="0"/>
    <n v="98"/>
    <x v="1"/>
    <n v="1960"/>
    <n v="92"/>
    <n v="4"/>
    <n v="10"/>
    <x v="1"/>
  </r>
  <r>
    <s v="PO10474"/>
    <d v="2026-03-21T00:00:00"/>
    <x v="5"/>
    <x v="0"/>
    <x v="4"/>
    <x v="1"/>
    <n v="25"/>
    <x v="1"/>
    <n v="500"/>
    <n v="91"/>
    <n v="5"/>
    <n v="4"/>
    <x v="2"/>
  </r>
  <r>
    <s v="PO10475"/>
    <d v="2026-05-09T00:00:00"/>
    <x v="1"/>
    <x v="0"/>
    <x v="2"/>
    <x v="2"/>
    <n v="39"/>
    <x v="2"/>
    <n v="9750"/>
    <n v="94"/>
    <n v="5"/>
    <n v="19"/>
    <x v="1"/>
  </r>
  <r>
    <s v="PO10476"/>
    <d v="2026-01-20T00:00:00"/>
    <x v="0"/>
    <x v="3"/>
    <x v="4"/>
    <x v="4"/>
    <n v="30"/>
    <x v="5"/>
    <n v="1500"/>
    <n v="71"/>
    <n v="3"/>
    <n v="7"/>
    <x v="1"/>
  </r>
  <r>
    <s v="PO10477"/>
    <d v="2026-03-02T00:00:00"/>
    <x v="0"/>
    <x v="3"/>
    <x v="2"/>
    <x v="2"/>
    <n v="44"/>
    <x v="3"/>
    <n v="220"/>
    <n v="93"/>
    <n v="4"/>
    <n v="7"/>
    <x v="1"/>
  </r>
  <r>
    <s v="PO10478"/>
    <d v="2026-06-23T00:00:00"/>
    <x v="5"/>
    <x v="1"/>
    <x v="3"/>
    <x v="0"/>
    <n v="77"/>
    <x v="2"/>
    <n v="19250"/>
    <n v="79"/>
    <n v="3"/>
    <n v="16"/>
    <x v="1"/>
  </r>
  <r>
    <s v="PO10479"/>
    <d v="2026-05-26T00:00:00"/>
    <x v="3"/>
    <x v="4"/>
    <x v="0"/>
    <x v="4"/>
    <n v="25"/>
    <x v="1"/>
    <n v="500"/>
    <n v="76"/>
    <n v="2"/>
    <n v="9"/>
    <x v="1"/>
  </r>
  <r>
    <s v="PO10480"/>
    <d v="2026-02-19T00:00:00"/>
    <x v="1"/>
    <x v="4"/>
    <x v="0"/>
    <x v="3"/>
    <n v="99"/>
    <x v="5"/>
    <n v="4950"/>
    <n v="86"/>
    <n v="2"/>
    <n v="6"/>
    <x v="2"/>
  </r>
  <r>
    <s v="PO10481"/>
    <d v="2026-01-17T00:00:00"/>
    <x v="3"/>
    <x v="2"/>
    <x v="0"/>
    <x v="2"/>
    <n v="83"/>
    <x v="3"/>
    <n v="415"/>
    <n v="71"/>
    <n v="5"/>
    <n v="19"/>
    <x v="1"/>
  </r>
  <r>
    <s v="PO10482"/>
    <d v="2026-01-02T00:00:00"/>
    <x v="2"/>
    <x v="3"/>
    <x v="4"/>
    <x v="3"/>
    <n v="64"/>
    <x v="5"/>
    <n v="3200"/>
    <n v="89"/>
    <n v="5"/>
    <n v="20"/>
    <x v="2"/>
  </r>
  <r>
    <s v="PO10483"/>
    <d v="2026-01-23T00:00:00"/>
    <x v="2"/>
    <x v="3"/>
    <x v="3"/>
    <x v="1"/>
    <n v="59"/>
    <x v="5"/>
    <n v="2950"/>
    <n v="75"/>
    <n v="4"/>
    <n v="13"/>
    <x v="1"/>
  </r>
  <r>
    <s v="PO10484"/>
    <d v="2026-05-06T00:00:00"/>
    <x v="5"/>
    <x v="3"/>
    <x v="3"/>
    <x v="0"/>
    <n v="99"/>
    <x v="0"/>
    <n v="990"/>
    <n v="83"/>
    <n v="2"/>
    <n v="18"/>
    <x v="2"/>
  </r>
  <r>
    <s v="PO10485"/>
    <d v="2026-04-05T00:00:00"/>
    <x v="3"/>
    <x v="1"/>
    <x v="4"/>
    <x v="4"/>
    <n v="90"/>
    <x v="1"/>
    <n v="1800"/>
    <n v="73"/>
    <n v="5"/>
    <n v="14"/>
    <x v="1"/>
  </r>
  <r>
    <s v="PO10486"/>
    <d v="2026-01-04T00:00:00"/>
    <x v="5"/>
    <x v="0"/>
    <x v="3"/>
    <x v="2"/>
    <n v="62"/>
    <x v="0"/>
    <n v="620"/>
    <n v="96"/>
    <n v="3"/>
    <n v="6"/>
    <x v="1"/>
  </r>
  <r>
    <s v="PO10487"/>
    <d v="2026-02-17T00:00:00"/>
    <x v="5"/>
    <x v="4"/>
    <x v="0"/>
    <x v="4"/>
    <n v="32"/>
    <x v="5"/>
    <n v="1600"/>
    <n v="74"/>
    <n v="3"/>
    <n v="11"/>
    <x v="2"/>
  </r>
  <r>
    <s v="PO10488"/>
    <d v="2026-04-20T00:00:00"/>
    <x v="3"/>
    <x v="3"/>
    <x v="0"/>
    <x v="3"/>
    <n v="78"/>
    <x v="0"/>
    <n v="780"/>
    <n v="72"/>
    <n v="5"/>
    <n v="5"/>
    <x v="1"/>
  </r>
  <r>
    <s v="PO10489"/>
    <d v="2026-03-25T00:00:00"/>
    <x v="3"/>
    <x v="0"/>
    <x v="3"/>
    <x v="1"/>
    <n v="17"/>
    <x v="0"/>
    <n v="170"/>
    <n v="88"/>
    <n v="3"/>
    <n v="5"/>
    <x v="1"/>
  </r>
  <r>
    <s v="PO10490"/>
    <d v="2026-01-08T00:00:00"/>
    <x v="0"/>
    <x v="0"/>
    <x v="1"/>
    <x v="2"/>
    <n v="55"/>
    <x v="4"/>
    <n v="5500"/>
    <n v="85"/>
    <n v="3"/>
    <n v="9"/>
    <x v="2"/>
  </r>
  <r>
    <s v="PO10491"/>
    <d v="2026-06-04T00:00:00"/>
    <x v="0"/>
    <x v="1"/>
    <x v="0"/>
    <x v="1"/>
    <n v="86"/>
    <x v="0"/>
    <n v="860"/>
    <n v="96"/>
    <n v="2"/>
    <n v="19"/>
    <x v="2"/>
  </r>
  <r>
    <s v="PO10492"/>
    <d v="2026-04-24T00:00:00"/>
    <x v="1"/>
    <x v="0"/>
    <x v="0"/>
    <x v="0"/>
    <n v="51"/>
    <x v="1"/>
    <n v="1020"/>
    <n v="75"/>
    <n v="4"/>
    <n v="6"/>
    <x v="1"/>
  </r>
  <r>
    <s v="PO10493"/>
    <d v="2026-06-18T00:00:00"/>
    <x v="2"/>
    <x v="0"/>
    <x v="4"/>
    <x v="0"/>
    <n v="20"/>
    <x v="5"/>
    <n v="1000"/>
    <n v="94"/>
    <n v="4"/>
    <n v="11"/>
    <x v="1"/>
  </r>
  <r>
    <s v="PO10494"/>
    <d v="2026-01-23T00:00:00"/>
    <x v="3"/>
    <x v="1"/>
    <x v="3"/>
    <x v="2"/>
    <n v="81"/>
    <x v="5"/>
    <n v="4050"/>
    <n v="97"/>
    <n v="2"/>
    <n v="12"/>
    <x v="1"/>
  </r>
  <r>
    <s v="PO10495"/>
    <d v="2026-03-25T00:00:00"/>
    <x v="0"/>
    <x v="4"/>
    <x v="3"/>
    <x v="1"/>
    <n v="57"/>
    <x v="4"/>
    <n v="5700"/>
    <n v="97"/>
    <n v="5"/>
    <n v="16"/>
    <x v="1"/>
  </r>
  <r>
    <s v="PO10496"/>
    <d v="2026-06-10T00:00:00"/>
    <x v="3"/>
    <x v="1"/>
    <x v="2"/>
    <x v="3"/>
    <n v="8"/>
    <x v="1"/>
    <n v="160"/>
    <n v="79"/>
    <n v="3"/>
    <n v="19"/>
    <x v="1"/>
  </r>
  <r>
    <s v="PO10497"/>
    <d v="2026-06-05T00:00:00"/>
    <x v="2"/>
    <x v="2"/>
    <x v="1"/>
    <x v="3"/>
    <n v="98"/>
    <x v="1"/>
    <n v="1960"/>
    <n v="87"/>
    <n v="3"/>
    <n v="18"/>
    <x v="1"/>
  </r>
  <r>
    <s v="PO10498"/>
    <d v="2026-02-28T00:00:00"/>
    <x v="1"/>
    <x v="3"/>
    <x v="1"/>
    <x v="4"/>
    <n v="84"/>
    <x v="3"/>
    <n v="420"/>
    <n v="97"/>
    <n v="5"/>
    <n v="6"/>
    <x v="1"/>
  </r>
  <r>
    <s v="PO10499"/>
    <d v="2026-06-07T00:00:00"/>
    <x v="4"/>
    <x v="0"/>
    <x v="3"/>
    <x v="1"/>
    <n v="34"/>
    <x v="0"/>
    <n v="340"/>
    <n v="76"/>
    <n v="4"/>
    <n v="7"/>
    <x v="1"/>
  </r>
  <r>
    <s v="PO10500"/>
    <d v="2026-01-19T00:00:00"/>
    <x v="0"/>
    <x v="0"/>
    <x v="4"/>
    <x v="1"/>
    <n v="39"/>
    <x v="5"/>
    <n v="1950"/>
    <n v="82"/>
    <n v="2"/>
    <n v="2"/>
    <x v="0"/>
  </r>
  <r>
    <s v="PO10501"/>
    <d v="2026-04-25T00:00:00"/>
    <x v="1"/>
    <x v="0"/>
    <x v="0"/>
    <x v="1"/>
    <n v="63"/>
    <x v="1"/>
    <n v="1260"/>
    <n v="74"/>
    <n v="3"/>
    <n v="15"/>
    <x v="1"/>
  </r>
  <r>
    <s v="PO10502"/>
    <d v="2026-02-07T00:00:00"/>
    <x v="2"/>
    <x v="4"/>
    <x v="2"/>
    <x v="1"/>
    <n v="5"/>
    <x v="5"/>
    <n v="250"/>
    <n v="77"/>
    <n v="4"/>
    <n v="9"/>
    <x v="1"/>
  </r>
  <r>
    <s v="PO10503"/>
    <d v="2026-05-25T00:00:00"/>
    <x v="5"/>
    <x v="1"/>
    <x v="2"/>
    <x v="4"/>
    <n v="39"/>
    <x v="3"/>
    <n v="195"/>
    <n v="97"/>
    <n v="3"/>
    <n v="10"/>
    <x v="1"/>
  </r>
  <r>
    <s v="PO10504"/>
    <d v="2026-01-25T00:00:00"/>
    <x v="4"/>
    <x v="1"/>
    <x v="3"/>
    <x v="0"/>
    <n v="22"/>
    <x v="4"/>
    <n v="2200"/>
    <n v="90"/>
    <n v="5"/>
    <n v="7"/>
    <x v="1"/>
  </r>
  <r>
    <s v="PO10505"/>
    <d v="2026-06-14T00:00:00"/>
    <x v="4"/>
    <x v="0"/>
    <x v="2"/>
    <x v="0"/>
    <n v="73"/>
    <x v="4"/>
    <n v="7300"/>
    <n v="86"/>
    <n v="4"/>
    <n v="12"/>
    <x v="1"/>
  </r>
  <r>
    <s v="PO10506"/>
    <d v="2026-04-03T00:00:00"/>
    <x v="3"/>
    <x v="3"/>
    <x v="4"/>
    <x v="4"/>
    <n v="67"/>
    <x v="5"/>
    <n v="3350"/>
    <n v="79"/>
    <n v="5"/>
    <n v="18"/>
    <x v="1"/>
  </r>
  <r>
    <s v="PO10507"/>
    <d v="2026-03-04T00:00:00"/>
    <x v="3"/>
    <x v="4"/>
    <x v="1"/>
    <x v="1"/>
    <n v="62"/>
    <x v="1"/>
    <n v="1240"/>
    <n v="80"/>
    <n v="5"/>
    <n v="14"/>
    <x v="1"/>
  </r>
  <r>
    <s v="PO10508"/>
    <d v="2026-01-28T00:00:00"/>
    <x v="1"/>
    <x v="1"/>
    <x v="4"/>
    <x v="4"/>
    <n v="13"/>
    <x v="3"/>
    <n v="65"/>
    <n v="75"/>
    <n v="2"/>
    <n v="10"/>
    <x v="1"/>
  </r>
  <r>
    <s v="PO10509"/>
    <d v="2026-06-25T00:00:00"/>
    <x v="2"/>
    <x v="3"/>
    <x v="3"/>
    <x v="0"/>
    <n v="6"/>
    <x v="0"/>
    <n v="60"/>
    <n v="80"/>
    <n v="5"/>
    <n v="14"/>
    <x v="1"/>
  </r>
  <r>
    <s v="PO10510"/>
    <d v="2026-02-15T00:00:00"/>
    <x v="2"/>
    <x v="4"/>
    <x v="1"/>
    <x v="1"/>
    <n v="59"/>
    <x v="3"/>
    <n v="295"/>
    <n v="98"/>
    <n v="4"/>
    <n v="14"/>
    <x v="1"/>
  </r>
  <r>
    <s v="PO10511"/>
    <d v="2026-06-08T00:00:00"/>
    <x v="3"/>
    <x v="4"/>
    <x v="3"/>
    <x v="3"/>
    <n v="40"/>
    <x v="5"/>
    <n v="2000"/>
    <n v="96"/>
    <n v="3"/>
    <n v="8"/>
    <x v="0"/>
  </r>
  <r>
    <s v="PO10512"/>
    <d v="2026-06-04T00:00:00"/>
    <x v="5"/>
    <x v="2"/>
    <x v="3"/>
    <x v="1"/>
    <n v="20"/>
    <x v="5"/>
    <n v="1000"/>
    <n v="90"/>
    <n v="3"/>
    <n v="14"/>
    <x v="1"/>
  </r>
  <r>
    <s v="PO10513"/>
    <d v="2026-05-09T00:00:00"/>
    <x v="5"/>
    <x v="2"/>
    <x v="0"/>
    <x v="2"/>
    <n v="39"/>
    <x v="0"/>
    <n v="390"/>
    <n v="92"/>
    <n v="4"/>
    <n v="16"/>
    <x v="1"/>
  </r>
  <r>
    <s v="PO10514"/>
    <d v="2026-05-13T00:00:00"/>
    <x v="2"/>
    <x v="2"/>
    <x v="3"/>
    <x v="0"/>
    <n v="63"/>
    <x v="1"/>
    <n v="1260"/>
    <n v="86"/>
    <n v="4"/>
    <n v="20"/>
    <x v="1"/>
  </r>
  <r>
    <s v="PO10515"/>
    <d v="2026-02-17T00:00:00"/>
    <x v="1"/>
    <x v="4"/>
    <x v="1"/>
    <x v="3"/>
    <n v="31"/>
    <x v="1"/>
    <n v="620"/>
    <n v="98"/>
    <n v="5"/>
    <n v="15"/>
    <x v="2"/>
  </r>
  <r>
    <s v="PO10516"/>
    <d v="2026-02-18T00:00:00"/>
    <x v="4"/>
    <x v="0"/>
    <x v="3"/>
    <x v="3"/>
    <n v="70"/>
    <x v="0"/>
    <n v="700"/>
    <n v="100"/>
    <n v="3"/>
    <n v="11"/>
    <x v="1"/>
  </r>
  <r>
    <s v="PO10517"/>
    <d v="2026-06-02T00:00:00"/>
    <x v="1"/>
    <x v="0"/>
    <x v="0"/>
    <x v="3"/>
    <n v="89"/>
    <x v="4"/>
    <n v="8900"/>
    <n v="89"/>
    <n v="4"/>
    <n v="15"/>
    <x v="1"/>
  </r>
  <r>
    <s v="PO10518"/>
    <d v="2026-02-17T00:00:00"/>
    <x v="5"/>
    <x v="0"/>
    <x v="0"/>
    <x v="2"/>
    <n v="35"/>
    <x v="5"/>
    <n v="1750"/>
    <n v="74"/>
    <n v="2"/>
    <n v="18"/>
    <x v="2"/>
  </r>
  <r>
    <s v="PO10519"/>
    <d v="2026-06-01T00:00:00"/>
    <x v="4"/>
    <x v="2"/>
    <x v="1"/>
    <x v="2"/>
    <n v="13"/>
    <x v="5"/>
    <n v="650"/>
    <n v="72"/>
    <n v="4"/>
    <n v="16"/>
    <x v="0"/>
  </r>
  <r>
    <s v="PO10520"/>
    <d v="2026-04-13T00:00:00"/>
    <x v="0"/>
    <x v="4"/>
    <x v="4"/>
    <x v="2"/>
    <n v="48"/>
    <x v="2"/>
    <n v="12000"/>
    <n v="90"/>
    <n v="3"/>
    <n v="18"/>
    <x v="1"/>
  </r>
  <r>
    <s v="PO10521"/>
    <d v="2026-04-21T00:00:00"/>
    <x v="1"/>
    <x v="4"/>
    <x v="0"/>
    <x v="1"/>
    <n v="50"/>
    <x v="0"/>
    <n v="500"/>
    <n v="89"/>
    <n v="2"/>
    <n v="8"/>
    <x v="1"/>
  </r>
  <r>
    <s v="PO10522"/>
    <d v="2026-04-23T00:00:00"/>
    <x v="0"/>
    <x v="3"/>
    <x v="0"/>
    <x v="4"/>
    <n v="80"/>
    <x v="2"/>
    <n v="20000"/>
    <n v="73"/>
    <n v="4"/>
    <n v="10"/>
    <x v="2"/>
  </r>
  <r>
    <s v="PO10523"/>
    <d v="2026-06-01T00:00:00"/>
    <x v="2"/>
    <x v="4"/>
    <x v="4"/>
    <x v="0"/>
    <n v="100"/>
    <x v="0"/>
    <n v="1000"/>
    <n v="97"/>
    <n v="4"/>
    <n v="9"/>
    <x v="1"/>
  </r>
  <r>
    <s v="PO10524"/>
    <d v="2026-03-15T00:00:00"/>
    <x v="4"/>
    <x v="0"/>
    <x v="4"/>
    <x v="3"/>
    <n v="26"/>
    <x v="3"/>
    <n v="130"/>
    <n v="77"/>
    <n v="4"/>
    <n v="18"/>
    <x v="1"/>
  </r>
  <r>
    <s v="PO10525"/>
    <d v="2026-05-26T00:00:00"/>
    <x v="4"/>
    <x v="4"/>
    <x v="1"/>
    <x v="0"/>
    <n v="48"/>
    <x v="3"/>
    <n v="240"/>
    <n v="84"/>
    <n v="3"/>
    <n v="19"/>
    <x v="1"/>
  </r>
  <r>
    <s v="PO10526"/>
    <d v="2026-04-23T00:00:00"/>
    <x v="4"/>
    <x v="3"/>
    <x v="0"/>
    <x v="1"/>
    <n v="38"/>
    <x v="1"/>
    <n v="760"/>
    <n v="76"/>
    <n v="5"/>
    <n v="2"/>
    <x v="1"/>
  </r>
  <r>
    <s v="PO10527"/>
    <d v="2026-05-17T00:00:00"/>
    <x v="0"/>
    <x v="2"/>
    <x v="1"/>
    <x v="2"/>
    <n v="2"/>
    <x v="4"/>
    <n v="200"/>
    <n v="88"/>
    <n v="2"/>
    <n v="7"/>
    <x v="1"/>
  </r>
  <r>
    <s v="PO10528"/>
    <d v="2026-04-24T00:00:00"/>
    <x v="5"/>
    <x v="3"/>
    <x v="3"/>
    <x v="4"/>
    <n v="4"/>
    <x v="2"/>
    <n v="1000"/>
    <n v="76"/>
    <n v="4"/>
    <n v="15"/>
    <x v="1"/>
  </r>
  <r>
    <s v="PO10529"/>
    <d v="2026-03-09T00:00:00"/>
    <x v="5"/>
    <x v="2"/>
    <x v="1"/>
    <x v="1"/>
    <n v="42"/>
    <x v="0"/>
    <n v="420"/>
    <n v="96"/>
    <n v="3"/>
    <n v="20"/>
    <x v="1"/>
  </r>
  <r>
    <s v="PO10530"/>
    <d v="2026-01-13T00:00:00"/>
    <x v="1"/>
    <x v="4"/>
    <x v="3"/>
    <x v="1"/>
    <n v="37"/>
    <x v="4"/>
    <n v="3700"/>
    <n v="72"/>
    <n v="5"/>
    <n v="19"/>
    <x v="1"/>
  </r>
  <r>
    <s v="PO10531"/>
    <d v="2026-05-01T00:00:00"/>
    <x v="1"/>
    <x v="2"/>
    <x v="4"/>
    <x v="2"/>
    <n v="53"/>
    <x v="5"/>
    <n v="2650"/>
    <n v="98"/>
    <n v="4"/>
    <n v="7"/>
    <x v="2"/>
  </r>
  <r>
    <s v="PO10532"/>
    <d v="2026-01-19T00:00:00"/>
    <x v="2"/>
    <x v="2"/>
    <x v="4"/>
    <x v="1"/>
    <n v="1"/>
    <x v="3"/>
    <n v="5"/>
    <n v="81"/>
    <n v="5"/>
    <n v="16"/>
    <x v="2"/>
  </r>
  <r>
    <s v="PO10533"/>
    <d v="2026-06-23T00:00:00"/>
    <x v="1"/>
    <x v="1"/>
    <x v="3"/>
    <x v="4"/>
    <n v="17"/>
    <x v="1"/>
    <n v="340"/>
    <n v="75"/>
    <n v="4"/>
    <n v="14"/>
    <x v="1"/>
  </r>
  <r>
    <s v="PO10534"/>
    <d v="2026-01-07T00:00:00"/>
    <x v="0"/>
    <x v="0"/>
    <x v="0"/>
    <x v="3"/>
    <n v="99"/>
    <x v="5"/>
    <n v="4950"/>
    <n v="98"/>
    <n v="4"/>
    <n v="3"/>
    <x v="1"/>
  </r>
  <r>
    <s v="PO10535"/>
    <d v="2026-03-17T00:00:00"/>
    <x v="0"/>
    <x v="0"/>
    <x v="4"/>
    <x v="4"/>
    <n v="54"/>
    <x v="0"/>
    <n v="540"/>
    <n v="70"/>
    <n v="2"/>
    <n v="5"/>
    <x v="1"/>
  </r>
  <r>
    <s v="PO10536"/>
    <d v="2026-03-19T00:00:00"/>
    <x v="0"/>
    <x v="4"/>
    <x v="1"/>
    <x v="2"/>
    <n v="75"/>
    <x v="4"/>
    <n v="7500"/>
    <n v="84"/>
    <n v="2"/>
    <n v="3"/>
    <x v="1"/>
  </r>
  <r>
    <s v="PO10537"/>
    <d v="2026-02-10T00:00:00"/>
    <x v="5"/>
    <x v="0"/>
    <x v="0"/>
    <x v="4"/>
    <n v="92"/>
    <x v="2"/>
    <n v="23000"/>
    <n v="81"/>
    <n v="5"/>
    <n v="10"/>
    <x v="1"/>
  </r>
  <r>
    <s v="PO10538"/>
    <d v="2026-03-28T00:00:00"/>
    <x v="3"/>
    <x v="2"/>
    <x v="1"/>
    <x v="0"/>
    <n v="10"/>
    <x v="5"/>
    <n v="500"/>
    <n v="96"/>
    <n v="5"/>
    <n v="13"/>
    <x v="1"/>
  </r>
  <r>
    <s v="PO10539"/>
    <d v="2026-01-12T00:00:00"/>
    <x v="0"/>
    <x v="4"/>
    <x v="4"/>
    <x v="2"/>
    <n v="61"/>
    <x v="1"/>
    <n v="1220"/>
    <n v="96"/>
    <n v="5"/>
    <n v="12"/>
    <x v="1"/>
  </r>
  <r>
    <s v="PO10540"/>
    <d v="2026-05-17T00:00:00"/>
    <x v="1"/>
    <x v="4"/>
    <x v="2"/>
    <x v="1"/>
    <n v="58"/>
    <x v="3"/>
    <n v="290"/>
    <n v="89"/>
    <n v="3"/>
    <n v="6"/>
    <x v="1"/>
  </r>
  <r>
    <s v="PO10541"/>
    <d v="2026-04-16T00:00:00"/>
    <x v="1"/>
    <x v="3"/>
    <x v="1"/>
    <x v="3"/>
    <n v="99"/>
    <x v="2"/>
    <n v="24750"/>
    <n v="83"/>
    <n v="4"/>
    <n v="14"/>
    <x v="1"/>
  </r>
  <r>
    <s v="PO10542"/>
    <d v="2026-01-01T00:00:00"/>
    <x v="1"/>
    <x v="4"/>
    <x v="1"/>
    <x v="3"/>
    <n v="79"/>
    <x v="1"/>
    <n v="1580"/>
    <n v="90"/>
    <n v="2"/>
    <n v="14"/>
    <x v="1"/>
  </r>
  <r>
    <s v="PO10543"/>
    <d v="2026-05-27T00:00:00"/>
    <x v="0"/>
    <x v="2"/>
    <x v="4"/>
    <x v="4"/>
    <n v="58"/>
    <x v="0"/>
    <n v="580"/>
    <n v="81"/>
    <n v="4"/>
    <n v="3"/>
    <x v="1"/>
  </r>
  <r>
    <s v="PO10544"/>
    <d v="2026-05-20T00:00:00"/>
    <x v="5"/>
    <x v="4"/>
    <x v="2"/>
    <x v="3"/>
    <n v="39"/>
    <x v="5"/>
    <n v="1950"/>
    <n v="77"/>
    <n v="2"/>
    <n v="8"/>
    <x v="2"/>
  </r>
  <r>
    <s v="PO10545"/>
    <d v="2026-04-22T00:00:00"/>
    <x v="4"/>
    <x v="2"/>
    <x v="0"/>
    <x v="2"/>
    <n v="47"/>
    <x v="4"/>
    <n v="4700"/>
    <n v="83"/>
    <n v="5"/>
    <n v="15"/>
    <x v="1"/>
  </r>
  <r>
    <s v="PO10546"/>
    <d v="2026-05-28T00:00:00"/>
    <x v="2"/>
    <x v="2"/>
    <x v="3"/>
    <x v="1"/>
    <n v="75"/>
    <x v="1"/>
    <n v="1500"/>
    <n v="82"/>
    <n v="4"/>
    <n v="2"/>
    <x v="1"/>
  </r>
  <r>
    <s v="PO10547"/>
    <d v="2026-03-07T00:00:00"/>
    <x v="5"/>
    <x v="1"/>
    <x v="3"/>
    <x v="2"/>
    <n v="87"/>
    <x v="5"/>
    <n v="4350"/>
    <n v="88"/>
    <n v="3"/>
    <n v="9"/>
    <x v="1"/>
  </r>
  <r>
    <s v="PO10548"/>
    <d v="2026-06-06T00:00:00"/>
    <x v="4"/>
    <x v="3"/>
    <x v="0"/>
    <x v="2"/>
    <n v="27"/>
    <x v="2"/>
    <n v="6750"/>
    <n v="92"/>
    <n v="2"/>
    <n v="7"/>
    <x v="1"/>
  </r>
  <r>
    <s v="PO10549"/>
    <d v="2026-01-23T00:00:00"/>
    <x v="3"/>
    <x v="0"/>
    <x v="4"/>
    <x v="2"/>
    <n v="67"/>
    <x v="1"/>
    <n v="1340"/>
    <n v="87"/>
    <n v="2"/>
    <n v="9"/>
    <x v="0"/>
  </r>
  <r>
    <s v="PO10550"/>
    <d v="2026-03-17T00:00:00"/>
    <x v="0"/>
    <x v="2"/>
    <x v="0"/>
    <x v="4"/>
    <n v="1"/>
    <x v="1"/>
    <n v="20"/>
    <n v="96"/>
    <n v="2"/>
    <n v="5"/>
    <x v="1"/>
  </r>
  <r>
    <s v="PO10551"/>
    <d v="2026-04-25T00:00:00"/>
    <x v="3"/>
    <x v="3"/>
    <x v="2"/>
    <x v="2"/>
    <n v="22"/>
    <x v="4"/>
    <n v="2200"/>
    <n v="78"/>
    <n v="4"/>
    <n v="6"/>
    <x v="1"/>
  </r>
  <r>
    <s v="PO10552"/>
    <d v="2026-01-21T00:00:00"/>
    <x v="3"/>
    <x v="3"/>
    <x v="2"/>
    <x v="1"/>
    <n v="6"/>
    <x v="1"/>
    <n v="120"/>
    <n v="96"/>
    <n v="4"/>
    <n v="3"/>
    <x v="1"/>
  </r>
  <r>
    <s v="PO10553"/>
    <d v="2026-02-23T00:00:00"/>
    <x v="0"/>
    <x v="4"/>
    <x v="4"/>
    <x v="2"/>
    <n v="97"/>
    <x v="3"/>
    <n v="485"/>
    <n v="90"/>
    <n v="3"/>
    <n v="14"/>
    <x v="1"/>
  </r>
  <r>
    <s v="PO10554"/>
    <d v="2026-03-13T00:00:00"/>
    <x v="5"/>
    <x v="1"/>
    <x v="0"/>
    <x v="3"/>
    <n v="24"/>
    <x v="1"/>
    <n v="480"/>
    <n v="85"/>
    <n v="4"/>
    <n v="4"/>
    <x v="1"/>
  </r>
  <r>
    <s v="PO10555"/>
    <d v="2026-06-10T00:00:00"/>
    <x v="3"/>
    <x v="0"/>
    <x v="1"/>
    <x v="1"/>
    <n v="56"/>
    <x v="4"/>
    <n v="5600"/>
    <n v="85"/>
    <n v="3"/>
    <n v="4"/>
    <x v="1"/>
  </r>
  <r>
    <s v="PO10556"/>
    <d v="2026-02-18T00:00:00"/>
    <x v="5"/>
    <x v="0"/>
    <x v="2"/>
    <x v="2"/>
    <n v="94"/>
    <x v="3"/>
    <n v="470"/>
    <n v="76"/>
    <n v="3"/>
    <n v="12"/>
    <x v="1"/>
  </r>
  <r>
    <s v="PO10557"/>
    <d v="2026-02-26T00:00:00"/>
    <x v="4"/>
    <x v="4"/>
    <x v="4"/>
    <x v="1"/>
    <n v="90"/>
    <x v="3"/>
    <n v="450"/>
    <n v="96"/>
    <n v="5"/>
    <n v="13"/>
    <x v="1"/>
  </r>
  <r>
    <s v="PO10558"/>
    <d v="2026-02-16T00:00:00"/>
    <x v="2"/>
    <x v="4"/>
    <x v="1"/>
    <x v="4"/>
    <n v="71"/>
    <x v="5"/>
    <n v="3550"/>
    <n v="80"/>
    <n v="3"/>
    <n v="6"/>
    <x v="1"/>
  </r>
  <r>
    <s v="PO10559"/>
    <d v="2026-06-20T00:00:00"/>
    <x v="1"/>
    <x v="1"/>
    <x v="0"/>
    <x v="0"/>
    <n v="95"/>
    <x v="2"/>
    <n v="23750"/>
    <n v="98"/>
    <n v="3"/>
    <n v="16"/>
    <x v="1"/>
  </r>
  <r>
    <s v="PO10560"/>
    <d v="2026-03-07T00:00:00"/>
    <x v="2"/>
    <x v="3"/>
    <x v="1"/>
    <x v="4"/>
    <n v="33"/>
    <x v="3"/>
    <n v="165"/>
    <n v="92"/>
    <n v="2"/>
    <n v="9"/>
    <x v="1"/>
  </r>
  <r>
    <s v="PO10561"/>
    <d v="2026-04-14T00:00:00"/>
    <x v="0"/>
    <x v="1"/>
    <x v="2"/>
    <x v="2"/>
    <n v="34"/>
    <x v="1"/>
    <n v="680"/>
    <n v="77"/>
    <n v="5"/>
    <n v="9"/>
    <x v="1"/>
  </r>
  <r>
    <s v="PO10562"/>
    <d v="2026-03-24T00:00:00"/>
    <x v="3"/>
    <x v="0"/>
    <x v="0"/>
    <x v="2"/>
    <n v="27"/>
    <x v="0"/>
    <n v="270"/>
    <n v="89"/>
    <n v="5"/>
    <n v="18"/>
    <x v="1"/>
  </r>
  <r>
    <s v="PO10563"/>
    <d v="2026-01-13T00:00:00"/>
    <x v="4"/>
    <x v="1"/>
    <x v="4"/>
    <x v="0"/>
    <n v="76"/>
    <x v="5"/>
    <n v="3800"/>
    <n v="81"/>
    <n v="4"/>
    <n v="6"/>
    <x v="2"/>
  </r>
  <r>
    <s v="PO10564"/>
    <d v="2026-02-09T00:00:00"/>
    <x v="1"/>
    <x v="0"/>
    <x v="3"/>
    <x v="1"/>
    <n v="85"/>
    <x v="1"/>
    <n v="1700"/>
    <n v="90"/>
    <n v="5"/>
    <n v="3"/>
    <x v="1"/>
  </r>
  <r>
    <s v="PO10565"/>
    <d v="2026-02-02T00:00:00"/>
    <x v="5"/>
    <x v="4"/>
    <x v="1"/>
    <x v="0"/>
    <n v="28"/>
    <x v="3"/>
    <n v="140"/>
    <n v="75"/>
    <n v="5"/>
    <n v="14"/>
    <x v="1"/>
  </r>
  <r>
    <s v="PO10566"/>
    <d v="2026-01-10T00:00:00"/>
    <x v="1"/>
    <x v="2"/>
    <x v="4"/>
    <x v="2"/>
    <n v="72"/>
    <x v="3"/>
    <n v="360"/>
    <n v="80"/>
    <n v="2"/>
    <n v="12"/>
    <x v="2"/>
  </r>
  <r>
    <s v="PO10567"/>
    <d v="2026-03-20T00:00:00"/>
    <x v="5"/>
    <x v="2"/>
    <x v="3"/>
    <x v="1"/>
    <n v="8"/>
    <x v="4"/>
    <n v="800"/>
    <n v="79"/>
    <n v="5"/>
    <n v="9"/>
    <x v="1"/>
  </r>
  <r>
    <s v="PO10568"/>
    <d v="2026-05-21T00:00:00"/>
    <x v="5"/>
    <x v="4"/>
    <x v="3"/>
    <x v="2"/>
    <n v="44"/>
    <x v="0"/>
    <n v="440"/>
    <n v="83"/>
    <n v="5"/>
    <n v="3"/>
    <x v="1"/>
  </r>
  <r>
    <s v="PO10569"/>
    <d v="2026-01-22T00:00:00"/>
    <x v="5"/>
    <x v="2"/>
    <x v="0"/>
    <x v="4"/>
    <n v="93"/>
    <x v="4"/>
    <n v="9300"/>
    <n v="85"/>
    <n v="3"/>
    <n v="8"/>
    <x v="1"/>
  </r>
  <r>
    <s v="PO10570"/>
    <d v="2026-02-19T00:00:00"/>
    <x v="3"/>
    <x v="1"/>
    <x v="2"/>
    <x v="4"/>
    <n v="17"/>
    <x v="0"/>
    <n v="170"/>
    <n v="70"/>
    <n v="5"/>
    <n v="6"/>
    <x v="2"/>
  </r>
  <r>
    <s v="PO10571"/>
    <d v="2026-03-24T00:00:00"/>
    <x v="2"/>
    <x v="3"/>
    <x v="2"/>
    <x v="2"/>
    <n v="98"/>
    <x v="1"/>
    <n v="1960"/>
    <n v="80"/>
    <n v="3"/>
    <n v="5"/>
    <x v="1"/>
  </r>
  <r>
    <s v="PO10572"/>
    <d v="2026-06-22T00:00:00"/>
    <x v="0"/>
    <x v="4"/>
    <x v="3"/>
    <x v="0"/>
    <n v="67"/>
    <x v="4"/>
    <n v="6700"/>
    <n v="98"/>
    <n v="3"/>
    <n v="7"/>
    <x v="1"/>
  </r>
  <r>
    <s v="PO10573"/>
    <d v="2026-02-20T00:00:00"/>
    <x v="1"/>
    <x v="0"/>
    <x v="4"/>
    <x v="0"/>
    <n v="58"/>
    <x v="5"/>
    <n v="2900"/>
    <n v="95"/>
    <n v="5"/>
    <n v="3"/>
    <x v="1"/>
  </r>
  <r>
    <s v="PO10574"/>
    <d v="2026-02-12T00:00:00"/>
    <x v="5"/>
    <x v="4"/>
    <x v="3"/>
    <x v="1"/>
    <n v="100"/>
    <x v="3"/>
    <n v="500"/>
    <n v="97"/>
    <n v="3"/>
    <n v="2"/>
    <x v="1"/>
  </r>
  <r>
    <s v="PO10575"/>
    <d v="2026-02-07T00:00:00"/>
    <x v="2"/>
    <x v="4"/>
    <x v="1"/>
    <x v="0"/>
    <n v="10"/>
    <x v="0"/>
    <n v="100"/>
    <n v="93"/>
    <n v="5"/>
    <n v="16"/>
    <x v="0"/>
  </r>
  <r>
    <s v="PO10576"/>
    <d v="2026-03-03T00:00:00"/>
    <x v="4"/>
    <x v="3"/>
    <x v="3"/>
    <x v="0"/>
    <n v="100"/>
    <x v="5"/>
    <n v="5000"/>
    <n v="74"/>
    <n v="5"/>
    <n v="12"/>
    <x v="1"/>
  </r>
  <r>
    <s v="PO10577"/>
    <d v="2026-03-08T00:00:00"/>
    <x v="4"/>
    <x v="0"/>
    <x v="3"/>
    <x v="3"/>
    <n v="83"/>
    <x v="2"/>
    <n v="20750"/>
    <n v="80"/>
    <n v="3"/>
    <n v="2"/>
    <x v="1"/>
  </r>
  <r>
    <s v="PO10578"/>
    <d v="2026-03-09T00:00:00"/>
    <x v="5"/>
    <x v="3"/>
    <x v="3"/>
    <x v="3"/>
    <n v="95"/>
    <x v="0"/>
    <n v="950"/>
    <n v="92"/>
    <n v="3"/>
    <n v="13"/>
    <x v="2"/>
  </r>
  <r>
    <s v="PO10579"/>
    <d v="2026-02-03T00:00:00"/>
    <x v="3"/>
    <x v="2"/>
    <x v="4"/>
    <x v="2"/>
    <n v="89"/>
    <x v="5"/>
    <n v="4450"/>
    <n v="95"/>
    <n v="2"/>
    <n v="11"/>
    <x v="1"/>
  </r>
  <r>
    <s v="PO10580"/>
    <d v="2026-01-01T00:00:00"/>
    <x v="2"/>
    <x v="3"/>
    <x v="4"/>
    <x v="2"/>
    <n v="88"/>
    <x v="4"/>
    <n v="8800"/>
    <n v="98"/>
    <n v="3"/>
    <n v="3"/>
    <x v="0"/>
  </r>
  <r>
    <s v="PO10581"/>
    <d v="2026-01-07T00:00:00"/>
    <x v="2"/>
    <x v="0"/>
    <x v="4"/>
    <x v="3"/>
    <n v="63"/>
    <x v="3"/>
    <n v="315"/>
    <n v="88"/>
    <n v="2"/>
    <n v="12"/>
    <x v="2"/>
  </r>
  <r>
    <s v="PO10582"/>
    <d v="2026-04-12T00:00:00"/>
    <x v="3"/>
    <x v="2"/>
    <x v="3"/>
    <x v="3"/>
    <n v="12"/>
    <x v="0"/>
    <n v="120"/>
    <n v="93"/>
    <n v="3"/>
    <n v="17"/>
    <x v="1"/>
  </r>
  <r>
    <s v="PO10583"/>
    <d v="2026-05-21T00:00:00"/>
    <x v="5"/>
    <x v="0"/>
    <x v="3"/>
    <x v="0"/>
    <n v="11"/>
    <x v="5"/>
    <n v="550"/>
    <n v="70"/>
    <n v="4"/>
    <n v="5"/>
    <x v="1"/>
  </r>
  <r>
    <s v="PO10584"/>
    <d v="2026-06-07T00:00:00"/>
    <x v="2"/>
    <x v="4"/>
    <x v="1"/>
    <x v="3"/>
    <n v="60"/>
    <x v="0"/>
    <n v="600"/>
    <n v="84"/>
    <n v="4"/>
    <n v="6"/>
    <x v="2"/>
  </r>
  <r>
    <s v="PO10585"/>
    <d v="2026-03-16T00:00:00"/>
    <x v="1"/>
    <x v="3"/>
    <x v="4"/>
    <x v="4"/>
    <n v="19"/>
    <x v="1"/>
    <n v="380"/>
    <n v="94"/>
    <n v="2"/>
    <n v="9"/>
    <x v="2"/>
  </r>
  <r>
    <s v="PO10586"/>
    <d v="2026-04-26T00:00:00"/>
    <x v="3"/>
    <x v="4"/>
    <x v="1"/>
    <x v="0"/>
    <n v="62"/>
    <x v="3"/>
    <n v="310"/>
    <n v="76"/>
    <n v="3"/>
    <n v="7"/>
    <x v="1"/>
  </r>
  <r>
    <s v="PO10587"/>
    <d v="2026-06-09T00:00:00"/>
    <x v="2"/>
    <x v="2"/>
    <x v="4"/>
    <x v="2"/>
    <n v="62"/>
    <x v="0"/>
    <n v="620"/>
    <n v="72"/>
    <n v="5"/>
    <n v="17"/>
    <x v="1"/>
  </r>
  <r>
    <s v="PO10588"/>
    <d v="2026-06-05T00:00:00"/>
    <x v="5"/>
    <x v="1"/>
    <x v="0"/>
    <x v="0"/>
    <n v="28"/>
    <x v="0"/>
    <n v="280"/>
    <n v="87"/>
    <n v="2"/>
    <n v="9"/>
    <x v="1"/>
  </r>
  <r>
    <s v="PO10589"/>
    <d v="2026-01-21T00:00:00"/>
    <x v="4"/>
    <x v="0"/>
    <x v="0"/>
    <x v="2"/>
    <n v="72"/>
    <x v="1"/>
    <n v="1440"/>
    <n v="81"/>
    <n v="4"/>
    <n v="19"/>
    <x v="1"/>
  </r>
  <r>
    <s v="PO10590"/>
    <d v="2026-03-03T00:00:00"/>
    <x v="5"/>
    <x v="3"/>
    <x v="4"/>
    <x v="3"/>
    <n v="93"/>
    <x v="2"/>
    <n v="23250"/>
    <n v="74"/>
    <n v="5"/>
    <n v="19"/>
    <x v="1"/>
  </r>
  <r>
    <s v="PO10591"/>
    <d v="2026-02-13T00:00:00"/>
    <x v="5"/>
    <x v="4"/>
    <x v="0"/>
    <x v="4"/>
    <n v="99"/>
    <x v="4"/>
    <n v="9900"/>
    <n v="100"/>
    <n v="2"/>
    <n v="8"/>
    <x v="2"/>
  </r>
  <r>
    <s v="PO10592"/>
    <d v="2026-04-03T00:00:00"/>
    <x v="5"/>
    <x v="4"/>
    <x v="0"/>
    <x v="2"/>
    <n v="54"/>
    <x v="0"/>
    <n v="540"/>
    <n v="79"/>
    <n v="2"/>
    <n v="9"/>
    <x v="2"/>
  </r>
  <r>
    <s v="PO10593"/>
    <d v="2026-01-15T00:00:00"/>
    <x v="2"/>
    <x v="2"/>
    <x v="3"/>
    <x v="1"/>
    <n v="10"/>
    <x v="2"/>
    <n v="2500"/>
    <n v="83"/>
    <n v="4"/>
    <n v="14"/>
    <x v="1"/>
  </r>
  <r>
    <s v="PO10594"/>
    <d v="2026-02-19T00:00:00"/>
    <x v="3"/>
    <x v="3"/>
    <x v="4"/>
    <x v="1"/>
    <n v="29"/>
    <x v="2"/>
    <n v="7250"/>
    <n v="76"/>
    <n v="4"/>
    <n v="3"/>
    <x v="1"/>
  </r>
  <r>
    <s v="PO10595"/>
    <d v="2026-03-18T00:00:00"/>
    <x v="1"/>
    <x v="2"/>
    <x v="2"/>
    <x v="1"/>
    <n v="67"/>
    <x v="2"/>
    <n v="16750"/>
    <n v="96"/>
    <n v="2"/>
    <n v="3"/>
    <x v="1"/>
  </r>
  <r>
    <s v="PO10596"/>
    <d v="2026-03-26T00:00:00"/>
    <x v="3"/>
    <x v="2"/>
    <x v="3"/>
    <x v="1"/>
    <n v="23"/>
    <x v="4"/>
    <n v="2300"/>
    <n v="75"/>
    <n v="5"/>
    <n v="13"/>
    <x v="1"/>
  </r>
  <r>
    <s v="PO10597"/>
    <d v="2026-02-23T00:00:00"/>
    <x v="5"/>
    <x v="3"/>
    <x v="2"/>
    <x v="3"/>
    <n v="39"/>
    <x v="3"/>
    <n v="195"/>
    <n v="74"/>
    <n v="4"/>
    <n v="13"/>
    <x v="1"/>
  </r>
  <r>
    <s v="PO10598"/>
    <d v="2026-02-22T00:00:00"/>
    <x v="0"/>
    <x v="4"/>
    <x v="4"/>
    <x v="3"/>
    <n v="55"/>
    <x v="3"/>
    <n v="275"/>
    <n v="86"/>
    <n v="2"/>
    <n v="19"/>
    <x v="1"/>
  </r>
  <r>
    <s v="PO10599"/>
    <d v="2026-03-25T00:00:00"/>
    <x v="0"/>
    <x v="1"/>
    <x v="1"/>
    <x v="4"/>
    <n v="20"/>
    <x v="4"/>
    <n v="2000"/>
    <n v="77"/>
    <n v="2"/>
    <n v="18"/>
    <x v="1"/>
  </r>
  <r>
    <s v="PO10600"/>
    <d v="2026-01-05T00:00:00"/>
    <x v="4"/>
    <x v="3"/>
    <x v="4"/>
    <x v="3"/>
    <n v="10"/>
    <x v="0"/>
    <n v="100"/>
    <n v="91"/>
    <n v="4"/>
    <n v="1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57BF01-74B4-4623-A62D-2E300781CD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3">
    <pivotField showAll="0"/>
    <pivotField numFmtId="164" showAll="0"/>
    <pivotField axis="axisRow" showAll="0" sortType="ascending">
      <items count="7">
        <item x="0"/>
        <item x="4"/>
        <item x="2"/>
        <item x="3"/>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5" showAll="0"/>
    <pivotField dataField="1" numFmtId="165" showAll="0"/>
    <pivotField showAll="0"/>
    <pivotField showAll="0"/>
    <pivotField showAll="0"/>
    <pivotField showAll="0"/>
  </pivotFields>
  <rowFields count="1">
    <field x="2"/>
  </rowFields>
  <rowItems count="7">
    <i>
      <x v="2"/>
    </i>
    <i>
      <x v="1"/>
    </i>
    <i>
      <x v="3"/>
    </i>
    <i>
      <x v="4"/>
    </i>
    <i>
      <x/>
    </i>
    <i>
      <x v="5"/>
    </i>
    <i t="grand">
      <x/>
    </i>
  </rowItems>
  <colItems count="1">
    <i/>
  </colItems>
  <dataFields count="1">
    <dataField name="Sum of Spend (USD)" fld="8" baseField="0" baseItem="0" numFmtId="165"/>
  </dataFields>
  <formats count="14">
    <format dxfId="153">
      <pivotArea type="all" dataOnly="0" outline="0" fieldPosition="0"/>
    </format>
    <format dxfId="152">
      <pivotArea outline="0" collapsedLevelsAreSubtotals="1" fieldPosition="0"/>
    </format>
    <format dxfId="151">
      <pivotArea field="2" type="button" dataOnly="0" labelOnly="1" outline="0" axis="axisRow" fieldPosition="0"/>
    </format>
    <format dxfId="150">
      <pivotArea dataOnly="0" labelOnly="1" fieldPosition="0">
        <references count="1">
          <reference field="2" count="0"/>
        </references>
      </pivotArea>
    </format>
    <format dxfId="149">
      <pivotArea dataOnly="0" labelOnly="1" grandRow="1" outline="0"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2" type="button" dataOnly="0" labelOnly="1" outline="0" axis="axisRow" fieldPosition="0"/>
    </format>
    <format dxfId="144">
      <pivotArea dataOnly="0" labelOnly="1" fieldPosition="0">
        <references count="1">
          <reference field="2" count="0"/>
        </references>
      </pivotArea>
    </format>
    <format dxfId="143">
      <pivotArea dataOnly="0" labelOnly="1" grandRow="1" outline="0" fieldPosition="0"/>
    </format>
    <format dxfId="142">
      <pivotArea dataOnly="0" labelOnly="1" outline="0" axis="axisValues" fieldPosition="0"/>
    </format>
    <format dxfId="141">
      <pivotArea outline="0" collapsedLevelsAreSubtotals="1" fieldPosition="0"/>
    </format>
    <format dxfId="140">
      <pivotArea collapsedLevelsAreSubtotals="1" fieldPosition="0">
        <references count="1">
          <reference field="2" count="1">
            <x v="5"/>
          </reference>
        </references>
      </pivotArea>
    </format>
  </formats>
  <conditionalFormats count="2">
    <conditionalFormat priority="2">
      <pivotAreas count="1">
        <pivotArea type="data" collapsedLevelsAreSubtotals="1" fieldPosition="0">
          <references count="2">
            <reference field="4294967294" count="1" selected="0">
              <x v="0"/>
            </reference>
            <reference field="2" count="1">
              <x v="4"/>
            </reference>
          </references>
        </pivotArea>
      </pivotAreas>
    </conditionalFormat>
    <conditionalFormat priority="1">
      <pivotAreas count="1">
        <pivotArea type="data" collapsedLevelsAreSubtotals="1" fieldPosition="0">
          <references count="2">
            <reference field="4294967294" count="1" selected="0">
              <x v="0"/>
            </reference>
            <reference field="2" count="6">
              <x v="0"/>
              <x v="1"/>
              <x v="2"/>
              <x v="3"/>
              <x v="4"/>
              <x v="5"/>
            </reference>
          </references>
        </pivotArea>
      </pivotAreas>
    </conditionalFormat>
  </conditionalFormats>
  <chartFormats count="9">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 count="1" selected="0">
            <x v="2"/>
          </reference>
        </references>
      </pivotArea>
    </chartFormat>
    <chartFormat chart="8" format="2">
      <pivotArea type="data" outline="0" fieldPosition="0">
        <references count="2">
          <reference field="4294967294" count="1" selected="0">
            <x v="0"/>
          </reference>
          <reference field="2" count="1" selected="0">
            <x v="1"/>
          </reference>
        </references>
      </pivotArea>
    </chartFormat>
    <chartFormat chart="8" format="3">
      <pivotArea type="data" outline="0" fieldPosition="0">
        <references count="2">
          <reference field="4294967294" count="1" selected="0">
            <x v="0"/>
          </reference>
          <reference field="2" count="1" selected="0">
            <x v="3"/>
          </reference>
        </references>
      </pivotArea>
    </chartFormat>
    <chartFormat chart="8" format="4">
      <pivotArea type="data" outline="0" fieldPosition="0">
        <references count="2">
          <reference field="4294967294" count="1" selected="0">
            <x v="0"/>
          </reference>
          <reference field="2" count="1" selected="0">
            <x v="4"/>
          </reference>
        </references>
      </pivotArea>
    </chartFormat>
    <chartFormat chart="8" format="5">
      <pivotArea type="data" outline="0" fieldPosition="0">
        <references count="2">
          <reference field="4294967294" count="1" selected="0">
            <x v="0"/>
          </reference>
          <reference field="2" count="1" selected="0">
            <x v="0"/>
          </reference>
        </references>
      </pivotArea>
    </chartFormat>
    <chartFormat chart="8"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C9A53F-A214-4346-89BA-971B3195A2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3">
    <pivotField showAll="0"/>
    <pivotField numFmtId="164" showAll="0"/>
    <pivotField showAll="0"/>
    <pivotField axis="axisRow" showAll="0" sortType="ascending">
      <items count="6">
        <item x="4"/>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pivotField showAll="0"/>
    <pivotField showAll="0"/>
    <pivotField showAll="0"/>
  </pivotFields>
  <rowFields count="1">
    <field x="3"/>
  </rowFields>
  <rowItems count="6">
    <i>
      <x v="4"/>
    </i>
    <i>
      <x v="1"/>
    </i>
    <i>
      <x v="2"/>
    </i>
    <i>
      <x/>
    </i>
    <i>
      <x v="3"/>
    </i>
    <i t="grand">
      <x/>
    </i>
  </rowItems>
  <colItems count="1">
    <i/>
  </colItems>
  <dataFields count="1">
    <dataField name="Sum of Spend (USD)" fld="8" baseField="0" baseItem="0" numFmtId="165"/>
  </dataFields>
  <formats count="14">
    <format dxfId="138">
      <pivotArea type="all" dataOnly="0" outline="0" fieldPosition="0"/>
    </format>
    <format dxfId="137">
      <pivotArea outline="0" collapsedLevelsAreSubtotals="1" fieldPosition="0"/>
    </format>
    <format dxfId="136">
      <pivotArea field="3" type="button" dataOnly="0" labelOnly="1" outline="0" axis="axisRow" fieldPosition="0"/>
    </format>
    <format dxfId="135">
      <pivotArea dataOnly="0" labelOnly="1" fieldPosition="0">
        <references count="1">
          <reference field="3" count="0"/>
        </references>
      </pivotArea>
    </format>
    <format dxfId="134">
      <pivotArea dataOnly="0" labelOnly="1" grandRow="1" outline="0"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field="3" type="button" dataOnly="0" labelOnly="1" outline="0" axis="axisRow" fieldPosition="0"/>
    </format>
    <format dxfId="129">
      <pivotArea dataOnly="0" labelOnly="1" fieldPosition="0">
        <references count="1">
          <reference field="3" count="0"/>
        </references>
      </pivotArea>
    </format>
    <format dxfId="128">
      <pivotArea dataOnly="0" labelOnly="1" grandRow="1" outline="0" fieldPosition="0"/>
    </format>
    <format dxfId="127">
      <pivotArea dataOnly="0" labelOnly="1" outline="0" axis="axisValues" fieldPosition="0"/>
    </format>
    <format dxfId="126">
      <pivotArea outline="0" collapsedLevelsAreSubtotals="1" fieldPosition="0"/>
    </format>
    <format dxfId="125">
      <pivotArea collapsedLevelsAreSubtotals="1" fieldPosition="0">
        <references count="1">
          <reference field="3" count="1">
            <x v="3"/>
          </reference>
        </references>
      </pivotArea>
    </format>
  </formats>
  <conditionalFormats count="1">
    <conditionalFormat priority="1">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chartFormats count="12">
    <chartFormat chart="2" format="0"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4"/>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 chart="6" format="17" series="1">
      <pivotArea type="data" outline="0" fieldPosition="0">
        <references count="1">
          <reference field="4294967294" count="1" selected="0">
            <x v="0"/>
          </reference>
        </references>
      </pivotArea>
    </chartFormat>
    <chartFormat chart="6" format="18">
      <pivotArea type="data" outline="0" fieldPosition="0">
        <references count="2">
          <reference field="4294967294" count="1" selected="0">
            <x v="0"/>
          </reference>
          <reference field="3" count="1" selected="0">
            <x v="4"/>
          </reference>
        </references>
      </pivotArea>
    </chartFormat>
    <chartFormat chart="6" format="19">
      <pivotArea type="data" outline="0" fieldPosition="0">
        <references count="2">
          <reference field="4294967294" count="1" selected="0">
            <x v="0"/>
          </reference>
          <reference field="3" count="1" selected="0">
            <x v="1"/>
          </reference>
        </references>
      </pivotArea>
    </chartFormat>
    <chartFormat chart="6" format="20">
      <pivotArea type="data" outline="0" fieldPosition="0">
        <references count="2">
          <reference field="4294967294" count="1" selected="0">
            <x v="0"/>
          </reference>
          <reference field="3" count="1" selected="0">
            <x v="2"/>
          </reference>
        </references>
      </pivotArea>
    </chartFormat>
    <chartFormat chart="6" format="21">
      <pivotArea type="data" outline="0" fieldPosition="0">
        <references count="2">
          <reference field="4294967294" count="1" selected="0">
            <x v="0"/>
          </reference>
          <reference field="3" count="1" selected="0">
            <x v="0"/>
          </reference>
        </references>
      </pivotArea>
    </chartFormat>
    <chartFormat chart="6" format="22">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AA4D84-7A49-4E36-ACC9-5599815F9F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0" firstHeaderRow="1" firstDataRow="1" firstDataCol="1"/>
  <pivotFields count="13">
    <pivotField showAll="0"/>
    <pivotField numFmtId="164" showAll="0"/>
    <pivotField showAll="0"/>
    <pivotField showAll="0"/>
    <pivotField axis="axisRow" showAll="0">
      <items count="7">
        <item x="0"/>
        <item x="5"/>
        <item x="3"/>
        <item x="2"/>
        <item x="4"/>
        <item x="1"/>
        <item t="default"/>
      </items>
    </pivotField>
    <pivotField showAll="0"/>
    <pivotField showAll="0"/>
    <pivotField numFmtId="165" showAll="0"/>
    <pivotField dataField="1" numFmtId="165"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Spend (USD)" fld="8" baseField="0" baseItem="0" numFmtId="165"/>
  </dataFields>
  <formats count="16">
    <format dxfId="123">
      <pivotArea type="all" dataOnly="0" outline="0" fieldPosition="0"/>
    </format>
    <format dxfId="122">
      <pivotArea outline="0" collapsedLevelsAreSubtotals="1" fieldPosition="0"/>
    </format>
    <format dxfId="121">
      <pivotArea field="4" type="button" dataOnly="0" labelOnly="1" outline="0" axis="axisRow" fieldPosition="0"/>
    </format>
    <format dxfId="120">
      <pivotArea dataOnly="0" labelOnly="1" fieldPosition="0">
        <references count="1">
          <reference field="4" count="0"/>
        </references>
      </pivotArea>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4" type="button" dataOnly="0" labelOnly="1" outline="0" axis="axisRow" fieldPosition="0"/>
    </format>
    <format dxfId="114">
      <pivotArea dataOnly="0" labelOnly="1" fieldPosition="0">
        <references count="1">
          <reference field="4" count="0"/>
        </references>
      </pivotArea>
    </format>
    <format dxfId="113">
      <pivotArea dataOnly="0" labelOnly="1" grandRow="1" outline="0" fieldPosition="0"/>
    </format>
    <format dxfId="112">
      <pivotArea dataOnly="0" labelOnly="1" outline="0" axis="axisValues" fieldPosition="0"/>
    </format>
    <format dxfId="111">
      <pivotArea outline="0" collapsedLevelsAreSubtotals="1" fieldPosition="0"/>
    </format>
    <format dxfId="110">
      <pivotArea field="4" type="button" dataOnly="0" labelOnly="1" outline="0" axis="axisRow" fieldPosition="0"/>
    </format>
    <format dxfId="109">
      <pivotArea dataOnly="0" labelOnly="1" outline="0" axis="axisValues" fieldPosition="0"/>
    </format>
    <format dxfId="108">
      <pivotArea collapsedLevelsAreSubtotals="1" fieldPosition="0">
        <references count="1">
          <reference field="4" count="1">
            <x v="0"/>
          </reference>
        </references>
      </pivotArea>
    </format>
  </formats>
  <conditionalFormats count="1">
    <conditionalFormat priority="1">
      <pivotAreas count="1">
        <pivotArea type="data" collapsedLevelsAreSubtotals="1" fieldPosition="0">
          <references count="2">
            <reference field="4294967294" count="1" selected="0">
              <x v="0"/>
            </reference>
            <reference field="4" count="6">
              <x v="0"/>
              <x v="1"/>
              <x v="2"/>
              <x v="3"/>
              <x v="4"/>
              <x v="5"/>
            </reference>
          </references>
        </pivotArea>
      </pivotAreas>
    </conditionalFormat>
  </conditionalFormats>
  <chartFormats count="10">
    <chartFormat chart="1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4" count="1" selected="0">
            <x v="1"/>
          </reference>
        </references>
      </pivotArea>
    </chartFormat>
    <chartFormat chart="26" format="2">
      <pivotArea type="data" outline="0" fieldPosition="0">
        <references count="2">
          <reference field="4294967294" count="1" selected="0">
            <x v="0"/>
          </reference>
          <reference field="4" count="1" selected="0">
            <x v="0"/>
          </reference>
        </references>
      </pivotArea>
    </chartFormat>
    <chartFormat chart="26" format="3">
      <pivotArea type="data" outline="0" fieldPosition="0">
        <references count="2">
          <reference field="4294967294" count="1" selected="0">
            <x v="0"/>
          </reference>
          <reference field="4" count="1" selected="0">
            <x v="2"/>
          </reference>
        </references>
      </pivotArea>
    </chartFormat>
    <chartFormat chart="26" format="4">
      <pivotArea type="data" outline="0" fieldPosition="0">
        <references count="2">
          <reference field="4294967294" count="1" selected="0">
            <x v="0"/>
          </reference>
          <reference field="4" count="1" selected="0">
            <x v="3"/>
          </reference>
        </references>
      </pivotArea>
    </chartFormat>
    <chartFormat chart="26" format="5">
      <pivotArea type="data" outline="0" fieldPosition="0">
        <references count="2">
          <reference field="4294967294" count="1" selected="0">
            <x v="0"/>
          </reference>
          <reference field="4" count="1" selected="0">
            <x v="4"/>
          </reference>
        </references>
      </pivotArea>
    </chartFormat>
    <chartFormat chart="26" format="6">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85EDE2-9629-4D9B-BB74-BFD44C9A480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3">
    <pivotField showAll="0"/>
    <pivotField numFmtId="164" showAll="0"/>
    <pivotField showAll="0"/>
    <pivotField showAll="0"/>
    <pivotField showAll="0"/>
    <pivotField axis="axisRow" showAll="0">
      <items count="6">
        <item x="3"/>
        <item x="0"/>
        <item x="1"/>
        <item x="2"/>
        <item x="4"/>
        <item t="default"/>
      </items>
    </pivotField>
    <pivotField showAll="0"/>
    <pivotField numFmtId="165" showAll="0"/>
    <pivotField dataField="1" numFmtId="165" showAll="0"/>
    <pivotField showAll="0"/>
    <pivotField showAll="0"/>
    <pivotField showAll="0"/>
    <pivotField showAll="0"/>
  </pivotFields>
  <rowFields count="1">
    <field x="5"/>
  </rowFields>
  <rowItems count="6">
    <i>
      <x/>
    </i>
    <i>
      <x v="1"/>
    </i>
    <i>
      <x v="2"/>
    </i>
    <i>
      <x v="3"/>
    </i>
    <i>
      <x v="4"/>
    </i>
    <i t="grand">
      <x/>
    </i>
  </rowItems>
  <colItems count="1">
    <i/>
  </colItems>
  <dataFields count="1">
    <dataField name="Sum of Spend (USD)" fld="8" baseField="0" baseItem="0" numFmtId="43"/>
  </dataFields>
  <formats count="14">
    <format dxfId="106">
      <pivotArea type="all" dataOnly="0" outline="0" fieldPosition="0"/>
    </format>
    <format dxfId="105">
      <pivotArea outline="0" collapsedLevelsAreSubtotals="1" fieldPosition="0"/>
    </format>
    <format dxfId="104">
      <pivotArea field="5" type="button" dataOnly="0" labelOnly="1" outline="0" axis="axisRow" fieldPosition="0"/>
    </format>
    <format dxfId="103">
      <pivotArea dataOnly="0" labelOnly="1" fieldPosition="0">
        <references count="1">
          <reference field="5" count="0"/>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5" type="button" dataOnly="0" labelOnly="1" outline="0" axis="axisRow" fieldPosition="0"/>
    </format>
    <format dxfId="97">
      <pivotArea dataOnly="0" labelOnly="1" fieldPosition="0">
        <references count="1">
          <reference field="5" count="0"/>
        </references>
      </pivotArea>
    </format>
    <format dxfId="96">
      <pivotArea dataOnly="0" labelOnly="1" grandRow="1" outline="0" fieldPosition="0"/>
    </format>
    <format dxfId="95">
      <pivotArea dataOnly="0" labelOnly="1" outline="0" axis="axisValues" fieldPosition="0"/>
    </format>
    <format dxfId="94">
      <pivotArea outline="0" collapsedLevelsAreSubtotals="1" fieldPosition="0"/>
    </format>
    <format dxfId="93">
      <pivotArea collapsedLevelsAreSubtotals="1" fieldPosition="0">
        <references count="1">
          <reference field="5" count="1">
            <x v="3"/>
          </reference>
        </references>
      </pivotArea>
    </format>
  </formats>
  <conditionalFormats count="1">
    <conditionalFormat priority="1">
      <pivotAreas count="1">
        <pivotArea type="data" collapsedLevelsAreSubtotals="1" fieldPosition="0">
          <references count="2">
            <reference field="4294967294" count="1" selected="0">
              <x v="0"/>
            </reference>
            <reference field="5" count="5">
              <x v="0"/>
              <x v="1"/>
              <x v="2"/>
              <x v="3"/>
              <x v="4"/>
            </reference>
          </references>
        </pivotArea>
      </pivotAreas>
    </conditionalFormat>
  </conditionalFormats>
  <chartFormats count="12">
    <chartFormat chart="2" format="0"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 chart="2" format="9">
      <pivotArea type="data" outline="0" fieldPosition="0">
        <references count="2">
          <reference field="4294967294" count="1" selected="0">
            <x v="0"/>
          </reference>
          <reference field="5" count="1" selected="0">
            <x v="3"/>
          </reference>
        </references>
      </pivotArea>
    </chartFormat>
    <chartFormat chart="2" format="10">
      <pivotArea type="data" outline="0" fieldPosition="0">
        <references count="2">
          <reference field="4294967294" count="1" selected="0">
            <x v="0"/>
          </reference>
          <reference field="5" count="1" selected="0">
            <x v="4"/>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5" count="1" selected="0">
            <x v="0"/>
          </reference>
        </references>
      </pivotArea>
    </chartFormat>
    <chartFormat chart="4" format="19">
      <pivotArea type="data" outline="0" fieldPosition="0">
        <references count="2">
          <reference field="4294967294" count="1" selected="0">
            <x v="0"/>
          </reference>
          <reference field="5" count="1" selected="0">
            <x v="1"/>
          </reference>
        </references>
      </pivotArea>
    </chartFormat>
    <chartFormat chart="4" format="20">
      <pivotArea type="data" outline="0" fieldPosition="0">
        <references count="2">
          <reference field="4294967294" count="1" selected="0">
            <x v="0"/>
          </reference>
          <reference field="5" count="1" selected="0">
            <x v="2"/>
          </reference>
        </references>
      </pivotArea>
    </chartFormat>
    <chartFormat chart="4" format="21">
      <pivotArea type="data" outline="0" fieldPosition="0">
        <references count="2">
          <reference field="4294967294" count="1" selected="0">
            <x v="0"/>
          </reference>
          <reference field="5" count="1" selected="0">
            <x v="3"/>
          </reference>
        </references>
      </pivotArea>
    </chartFormat>
    <chartFormat chart="4" format="2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8FE213-E600-4F96-89A7-A0264A50B4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3">
    <pivotField showAll="0"/>
    <pivotField numFmtId="164" showAll="0"/>
    <pivotField showAll="0"/>
    <pivotField showAll="0"/>
    <pivotField showAll="0"/>
    <pivotField showAll="0"/>
    <pivotField showAll="0"/>
    <pivotField numFmtId="165" showAll="0"/>
    <pivotField numFmtId="165" showAll="0"/>
    <pivotField showAll="0"/>
    <pivotField showAll="0"/>
    <pivotField showAll="0"/>
    <pivotField axis="axisRow" dataField="1" showAll="0">
      <items count="4">
        <item x="0"/>
        <item x="1"/>
        <item x="2"/>
        <item t="default"/>
      </items>
    </pivotField>
  </pivotFields>
  <rowFields count="1">
    <field x="12"/>
  </rowFields>
  <rowItems count="4">
    <i>
      <x/>
    </i>
    <i>
      <x v="1"/>
    </i>
    <i>
      <x v="2"/>
    </i>
    <i t="grand">
      <x/>
    </i>
  </rowItems>
  <colItems count="1">
    <i/>
  </colItems>
  <dataFields count="1">
    <dataField name="Count of Status" fld="12" subtotal="count" baseField="0" baseItem="0"/>
  </dataFields>
  <formats count="12">
    <format dxfId="92">
      <pivotArea type="all" dataOnly="0" outline="0" fieldPosition="0"/>
    </format>
    <format dxfId="91">
      <pivotArea outline="0" collapsedLevelsAreSubtotals="1" fieldPosition="0"/>
    </format>
    <format dxfId="90">
      <pivotArea field="12" type="button" dataOnly="0" labelOnly="1" outline="0" axis="axisRow" fieldPosition="0"/>
    </format>
    <format dxfId="89">
      <pivotArea dataOnly="0" labelOnly="1" fieldPosition="0">
        <references count="1">
          <reference field="12" count="0"/>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12" type="button" dataOnly="0" labelOnly="1" outline="0" axis="axisRow" fieldPosition="0"/>
    </format>
    <format dxfId="83">
      <pivotArea dataOnly="0" labelOnly="1" fieldPosition="0">
        <references count="1">
          <reference field="12" count="0"/>
        </references>
      </pivotArea>
    </format>
    <format dxfId="82">
      <pivotArea dataOnly="0" labelOnly="1" grandRow="1" outline="0" fieldPosition="0"/>
    </format>
    <format dxfId="81">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2" count="1" selected="0">
            <x v="0"/>
          </reference>
        </references>
      </pivotArea>
    </chartFormat>
    <chartFormat chart="6" format="7">
      <pivotArea type="data" outline="0" fieldPosition="0">
        <references count="2">
          <reference field="4294967294" count="1" selected="0">
            <x v="0"/>
          </reference>
          <reference field="12" count="1" selected="0">
            <x v="1"/>
          </reference>
        </references>
      </pivotArea>
    </chartFormat>
    <chartFormat chart="6" format="8">
      <pivotArea type="data" outline="0" fieldPosition="0">
        <references count="2">
          <reference field="4294967294" count="1" selected="0">
            <x v="0"/>
          </reference>
          <reference field="12" count="1" selected="0">
            <x v="2"/>
          </reference>
        </references>
      </pivotArea>
    </chartFormat>
    <chartFormat chart="3" format="1">
      <pivotArea type="data" outline="0" fieldPosition="0">
        <references count="2">
          <reference field="4294967294" count="1" selected="0">
            <x v="0"/>
          </reference>
          <reference field="12" count="1" selected="0">
            <x v="0"/>
          </reference>
        </references>
      </pivotArea>
    </chartFormat>
    <chartFormat chart="3" format="2">
      <pivotArea type="data" outline="0" fieldPosition="0">
        <references count="2">
          <reference field="4294967294" count="1" selected="0">
            <x v="0"/>
          </reference>
          <reference field="12" count="1" selected="0">
            <x v="1"/>
          </reference>
        </references>
      </pivotArea>
    </chartFormat>
    <chartFormat chart="3"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ADE8F5-42FE-44A9-B564-5EFB6DB97C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13">
    <pivotField showAll="0"/>
    <pivotField numFmtId="164" showAll="0"/>
    <pivotField axis="axisRow" showAll="0">
      <items count="7">
        <item x="0"/>
        <item x="4"/>
        <item x="2"/>
        <item x="3"/>
        <item x="5"/>
        <item x="1"/>
        <item t="default"/>
      </items>
    </pivotField>
    <pivotField showAll="0"/>
    <pivotField showAll="0"/>
    <pivotField showAll="0"/>
    <pivotField showAll="0"/>
    <pivotField numFmtId="165" showAll="0"/>
    <pivotField numFmtId="165" showAll="0"/>
    <pivotField dataField="1" showAll="0"/>
    <pivotField showAll="0"/>
    <pivotField showAll="0"/>
    <pivotField showAll="0"/>
  </pivotFields>
  <rowFields count="1">
    <field x="2"/>
  </rowFields>
  <rowItems count="7">
    <i>
      <x/>
    </i>
    <i>
      <x v="1"/>
    </i>
    <i>
      <x v="2"/>
    </i>
    <i>
      <x v="3"/>
    </i>
    <i>
      <x v="4"/>
    </i>
    <i>
      <x v="5"/>
    </i>
    <i t="grand">
      <x/>
    </i>
  </rowItems>
  <colItems count="1">
    <i/>
  </colItems>
  <dataFields count="1">
    <dataField name="Average of On-Time %" fld="9" subtotal="average" baseField="2" baseItem="0"/>
  </dataFields>
  <formats count="13">
    <format dxfId="79">
      <pivotArea type="all" dataOnly="0" outline="0" fieldPosition="0"/>
    </format>
    <format dxfId="78">
      <pivotArea outline="0" collapsedLevelsAreSubtotals="1" fieldPosition="0"/>
    </format>
    <format dxfId="77">
      <pivotArea field="2" type="button" dataOnly="0" labelOnly="1" outline="0" axis="axisRow" fieldPosition="0"/>
    </format>
    <format dxfId="76">
      <pivotArea dataOnly="0" labelOnly="1" fieldPosition="0">
        <references count="1">
          <reference field="2" count="0"/>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2" type="button" dataOnly="0" labelOnly="1" outline="0" axis="axisRow" fieldPosition="0"/>
    </format>
    <format dxfId="70">
      <pivotArea dataOnly="0" labelOnly="1" fieldPosition="0">
        <references count="1">
          <reference field="2" count="0"/>
        </references>
      </pivotArea>
    </format>
    <format dxfId="69">
      <pivotArea dataOnly="0" labelOnly="1" grandRow="1" outline="0" fieldPosition="0"/>
    </format>
    <format dxfId="68">
      <pivotArea dataOnly="0" labelOnly="1" outline="0" axis="axisValues" fieldPosition="0"/>
    </format>
    <format dxfId="67">
      <pivotArea collapsedLevelsAreSubtotals="1" fieldPosition="0">
        <references count="1">
          <reference field="2" count="1">
            <x v="5"/>
          </reference>
        </references>
      </pivotArea>
    </format>
  </formats>
  <conditionalFormats count="1">
    <conditionalFormat priority="1">
      <pivotAreas count="1">
        <pivotArea type="data" collapsedLevelsAreSubtotals="1" fieldPosition="0">
          <references count="2">
            <reference field="4294967294" count="1" selected="0">
              <x v="0"/>
            </reference>
            <reference field="2" count="6">
              <x v="0"/>
              <x v="1"/>
              <x v="2"/>
              <x v="3"/>
              <x v="4"/>
              <x v="5"/>
            </reference>
          </references>
        </pivotArea>
      </pivotAreas>
    </conditionalFormat>
  </conditionalFormats>
  <chartFormats count="2">
    <chartFormat chart="4"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CB8E5B-4FB6-464E-9A8A-19889D17BC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13">
    <pivotField showAll="0"/>
    <pivotField numFmtId="164" showAll="0"/>
    <pivotField axis="axisRow" showAll="0">
      <items count="7">
        <item x="0"/>
        <item x="4"/>
        <item x="2"/>
        <item x="3"/>
        <item x="5"/>
        <item x="1"/>
        <item t="default"/>
      </items>
    </pivotField>
    <pivotField showAll="0"/>
    <pivotField showAll="0"/>
    <pivotField showAll="0"/>
    <pivotField showAll="0"/>
    <pivotField numFmtId="165" showAll="0"/>
    <pivotField numFmtId="165" showAll="0"/>
    <pivotField showAll="0"/>
    <pivotField dataField="1" showAll="0"/>
    <pivotField showAll="0"/>
    <pivotField showAll="0"/>
  </pivotFields>
  <rowFields count="1">
    <field x="2"/>
  </rowFields>
  <rowItems count="7">
    <i>
      <x/>
    </i>
    <i>
      <x v="1"/>
    </i>
    <i>
      <x v="2"/>
    </i>
    <i>
      <x v="3"/>
    </i>
    <i>
      <x v="4"/>
    </i>
    <i>
      <x v="5"/>
    </i>
    <i t="grand">
      <x/>
    </i>
  </rowItems>
  <colItems count="1">
    <i/>
  </colItems>
  <dataFields count="1">
    <dataField name="Average of Quality" fld="10" subtotal="average" baseField="2" baseItem="0"/>
  </dataFields>
  <formats count="14">
    <format dxfId="64">
      <pivotArea type="all" dataOnly="0" outline="0" fieldPosition="0"/>
    </format>
    <format dxfId="63">
      <pivotArea outline="0" collapsedLevelsAreSubtotals="1" fieldPosition="0"/>
    </format>
    <format dxfId="62">
      <pivotArea field="2" type="button" dataOnly="0" labelOnly="1" outline="0" axis="axisRow" fieldPosition="0"/>
    </format>
    <format dxfId="61">
      <pivotArea dataOnly="0" labelOnly="1" fieldPosition="0">
        <references count="1">
          <reference field="2" count="0"/>
        </references>
      </pivotArea>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2" type="button" dataOnly="0" labelOnly="1" outline="0" axis="axisRow" fieldPosition="0"/>
    </format>
    <format dxfId="55">
      <pivotArea dataOnly="0" labelOnly="1" fieldPosition="0">
        <references count="1">
          <reference field="2" count="0"/>
        </references>
      </pivotArea>
    </format>
    <format dxfId="54">
      <pivotArea dataOnly="0" labelOnly="1" grandRow="1" outline="0" fieldPosition="0"/>
    </format>
    <format dxfId="53">
      <pivotArea dataOnly="0" labelOnly="1" outline="0" axis="axisValues" fieldPosition="0"/>
    </format>
    <format dxfId="52">
      <pivotArea collapsedLevelsAreSubtotals="1" fieldPosition="0">
        <references count="1">
          <reference field="2" count="1">
            <x v="4"/>
          </reference>
        </references>
      </pivotArea>
    </format>
    <format dxfId="51">
      <pivotArea collapsedLevelsAreSubtotals="1" fieldPosition="0">
        <references count="1">
          <reference field="2" count="0"/>
        </references>
      </pivotArea>
    </format>
  </formats>
  <conditionalFormats count="2">
    <conditionalFormat priority="2">
      <pivotAreas count="1">
        <pivotArea type="data" collapsedLevelsAreSubtotals="1" fieldPosition="0">
          <references count="2">
            <reference field="4294967294" count="1" selected="0">
              <x v="0"/>
            </reference>
            <reference field="2" count="6">
              <x v="0"/>
              <x v="1"/>
              <x v="2"/>
              <x v="3"/>
              <x v="4"/>
              <x v="5"/>
            </reference>
          </references>
        </pivotArea>
      </pivotAreas>
    </conditionalFormat>
    <conditionalFormat priority="1">
      <pivotAreas count="1">
        <pivotArea type="data" collapsedLevelsAreSubtotals="1" fieldPosition="0">
          <references count="2">
            <reference field="4294967294" count="1" selected="0">
              <x v="0"/>
            </reference>
            <reference field="2" count="6">
              <x v="0"/>
              <x v="1"/>
              <x v="2"/>
              <x v="3"/>
              <x v="4"/>
              <x v="5"/>
            </reference>
          </references>
        </pivotArea>
      </pivotAreas>
    </conditionalFormat>
  </conditionalFormats>
  <chartFormats count="2">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38855D-2DE1-4A6A-A00A-846879BDD0E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3">
    <pivotField showAll="0"/>
    <pivotField numFmtId="164" showAll="0"/>
    <pivotField axis="axisRow" showAll="0">
      <items count="7">
        <item x="0"/>
        <item x="4"/>
        <item x="2"/>
        <item x="3"/>
        <item x="5"/>
        <item x="1"/>
        <item t="default"/>
      </items>
    </pivotField>
    <pivotField showAll="0"/>
    <pivotField showAll="0"/>
    <pivotField showAll="0"/>
    <pivotField showAll="0"/>
    <pivotField numFmtId="165" showAll="0"/>
    <pivotField numFmtId="165" showAll="0"/>
    <pivotField showAll="0"/>
    <pivotField showAll="0"/>
    <pivotField dataField="1" showAll="0"/>
    <pivotField showAll="0"/>
  </pivotFields>
  <rowFields count="1">
    <field x="2"/>
  </rowFields>
  <rowItems count="7">
    <i>
      <x/>
    </i>
    <i>
      <x v="1"/>
    </i>
    <i>
      <x v="2"/>
    </i>
    <i>
      <x v="3"/>
    </i>
    <i>
      <x v="4"/>
    </i>
    <i>
      <x v="5"/>
    </i>
    <i t="grand">
      <x/>
    </i>
  </rowItems>
  <colItems count="1">
    <i/>
  </colItems>
  <dataFields count="1">
    <dataField name="Average of Lead Days" fld="11" subtotal="average" baseField="2" baseItem="0"/>
  </dataFields>
  <formats count="13">
    <format dxfId="49">
      <pivotArea type="all" dataOnly="0" outline="0" fieldPosition="0"/>
    </format>
    <format dxfId="48">
      <pivotArea outline="0" collapsedLevelsAreSubtotals="1" fieldPosition="0"/>
    </format>
    <format dxfId="47">
      <pivotArea field="2" type="button" dataOnly="0" labelOnly="1" outline="0" axis="axisRow" fieldPosition="0"/>
    </format>
    <format dxfId="46">
      <pivotArea dataOnly="0" labelOnly="1" fieldPosition="0">
        <references count="1">
          <reference field="2" count="0"/>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2" type="button" dataOnly="0" labelOnly="1" outline="0" axis="axisRow" fieldPosition="0"/>
    </format>
    <format dxfId="40">
      <pivotArea dataOnly="0" labelOnly="1" fieldPosition="0">
        <references count="1">
          <reference field="2" count="0"/>
        </references>
      </pivotArea>
    </format>
    <format dxfId="39">
      <pivotArea dataOnly="0" labelOnly="1" grandRow="1" outline="0" fieldPosition="0"/>
    </format>
    <format dxfId="38">
      <pivotArea dataOnly="0" labelOnly="1" outline="0" axis="axisValues" fieldPosition="0"/>
    </format>
    <format dxfId="37">
      <pivotArea collapsedLevelsAreSubtotals="1" fieldPosition="0">
        <references count="1">
          <reference field="2" count="1">
            <x v="2"/>
          </reference>
        </references>
      </pivotArea>
    </format>
  </formats>
  <conditionalFormats count="1">
    <conditionalFormat priority="1">
      <pivotAreas count="1">
        <pivotArea type="data" collapsedLevelsAreSubtotals="1" fieldPosition="0">
          <references count="2">
            <reference field="4294967294" count="1" selected="0">
              <x v="0"/>
            </reference>
            <reference field="2" count="6">
              <x v="0"/>
              <x v="1"/>
              <x v="2"/>
              <x v="3"/>
              <x v="4"/>
              <x v="5"/>
            </reference>
          </references>
        </pivotArea>
      </pivotAreas>
    </conditionalFormat>
  </conditionalFormat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0DEB80-5CA8-48E1-AE4C-37FB385B53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8" firstHeaderRow="1" firstDataRow="1" firstDataCol="1"/>
  <pivotFields count="13">
    <pivotField showAll="0"/>
    <pivotField numFmtId="164" showAll="0"/>
    <pivotField axis="axisRow" showAll="0">
      <items count="7">
        <item x="0"/>
        <item x="4"/>
        <item x="2"/>
        <item x="3"/>
        <item x="5"/>
        <item x="1"/>
        <item t="default"/>
      </items>
    </pivotField>
    <pivotField showAll="0"/>
    <pivotField showAll="0"/>
    <pivotField showAll="0"/>
    <pivotField showAll="0"/>
    <pivotField numFmtId="165" showAll="0"/>
    <pivotField numFmtId="165" showAll="0"/>
    <pivotField showAll="0"/>
    <pivotField showAll="0"/>
    <pivotField showAll="0"/>
    <pivotField axis="axisRow" dataField="1" showAll="0">
      <items count="4">
        <item x="0"/>
        <item x="1"/>
        <item x="2"/>
        <item t="default"/>
      </items>
    </pivotField>
  </pivotFields>
  <rowFields count="2">
    <field x="2"/>
    <field x="12"/>
  </rowFields>
  <rowItems count="25">
    <i>
      <x/>
    </i>
    <i r="1">
      <x/>
    </i>
    <i r="1">
      <x v="1"/>
    </i>
    <i r="1">
      <x v="2"/>
    </i>
    <i>
      <x v="1"/>
    </i>
    <i r="1">
      <x/>
    </i>
    <i r="1">
      <x v="1"/>
    </i>
    <i r="1">
      <x v="2"/>
    </i>
    <i>
      <x v="2"/>
    </i>
    <i r="1">
      <x/>
    </i>
    <i r="1">
      <x v="1"/>
    </i>
    <i r="1">
      <x v="2"/>
    </i>
    <i>
      <x v="3"/>
    </i>
    <i r="1">
      <x/>
    </i>
    <i r="1">
      <x v="1"/>
    </i>
    <i r="1">
      <x v="2"/>
    </i>
    <i>
      <x v="4"/>
    </i>
    <i r="1">
      <x/>
    </i>
    <i r="1">
      <x v="1"/>
    </i>
    <i r="1">
      <x v="2"/>
    </i>
    <i>
      <x v="5"/>
    </i>
    <i r="1">
      <x/>
    </i>
    <i r="1">
      <x v="1"/>
    </i>
    <i r="1">
      <x v="2"/>
    </i>
    <i t="grand">
      <x/>
    </i>
  </rowItems>
  <colItems count="1">
    <i/>
  </colItems>
  <dataFields count="1">
    <dataField name="Count of Status" fld="12" subtotal="count" baseField="0" baseItem="0"/>
  </dataFields>
  <formats count="19">
    <format dxfId="36">
      <pivotArea type="all" dataOnly="0" outline="0" fieldPosition="0"/>
    </format>
    <format dxfId="35">
      <pivotArea outline="0" collapsedLevelsAreSubtotals="1" fieldPosition="0"/>
    </format>
    <format dxfId="34">
      <pivotArea field="2" type="button" dataOnly="0" labelOnly="1" outline="0" axis="axisRow" fieldPosition="0"/>
    </format>
    <format dxfId="33">
      <pivotArea dataOnly="0" labelOnly="1" fieldPosition="0">
        <references count="1">
          <reference field="2" count="0"/>
        </references>
      </pivotArea>
    </format>
    <format dxfId="32">
      <pivotArea dataOnly="0" labelOnly="1" grandRow="1" outline="0" fieldPosition="0"/>
    </format>
    <format dxfId="31">
      <pivotArea dataOnly="0" labelOnly="1" fieldPosition="0">
        <references count="2">
          <reference field="2" count="1" selected="0">
            <x v="0"/>
          </reference>
          <reference field="12" count="0"/>
        </references>
      </pivotArea>
    </format>
    <format dxfId="30">
      <pivotArea dataOnly="0" labelOnly="1" fieldPosition="0">
        <references count="2">
          <reference field="2" count="1" selected="0">
            <x v="1"/>
          </reference>
          <reference field="12" count="0"/>
        </references>
      </pivotArea>
    </format>
    <format dxfId="29">
      <pivotArea dataOnly="0" labelOnly="1" fieldPosition="0">
        <references count="2">
          <reference field="2" count="1" selected="0">
            <x v="2"/>
          </reference>
          <reference field="12" count="0"/>
        </references>
      </pivotArea>
    </format>
    <format dxfId="28">
      <pivotArea dataOnly="0" labelOnly="1" fieldPosition="0">
        <references count="2">
          <reference field="2" count="1" selected="0">
            <x v="3"/>
          </reference>
          <reference field="12" count="0"/>
        </references>
      </pivotArea>
    </format>
    <format dxfId="27">
      <pivotArea dataOnly="0" labelOnly="1" fieldPosition="0">
        <references count="2">
          <reference field="2" count="1" selected="0">
            <x v="4"/>
          </reference>
          <reference field="12" count="0"/>
        </references>
      </pivotArea>
    </format>
    <format dxfId="26">
      <pivotArea dataOnly="0" labelOnly="1" fieldPosition="0">
        <references count="2">
          <reference field="2" count="1" selected="0">
            <x v="5"/>
          </reference>
          <reference field="12" count="0"/>
        </references>
      </pivotArea>
    </format>
    <format dxfId="25">
      <pivotArea dataOnly="0" labelOnly="1" outline="0" axis="axisValues" fieldPosition="0"/>
    </format>
    <format dxfId="24">
      <pivotArea collapsedLevelsAreSubtotals="1" fieldPosition="0">
        <references count="2">
          <reference field="2" count="1" selected="0">
            <x v="0"/>
          </reference>
          <reference field="12" count="1">
            <x v="2"/>
          </reference>
        </references>
      </pivotArea>
    </format>
    <format dxfId="23">
      <pivotArea dataOnly="0" labelOnly="1" fieldPosition="0">
        <references count="2">
          <reference field="2" count="1" selected="0">
            <x v="0"/>
          </reference>
          <reference field="12" count="1">
            <x v="2"/>
          </reference>
        </references>
      </pivotArea>
    </format>
    <format dxfId="22">
      <pivotArea dataOnly="0" fieldPosition="0">
        <references count="1">
          <reference field="12" count="1">
            <x v="2"/>
          </reference>
        </references>
      </pivotArea>
    </format>
    <format dxfId="21">
      <pivotArea dataOnly="0" fieldPosition="0">
        <references count="1">
          <reference field="12" count="1">
            <x v="0"/>
          </reference>
        </references>
      </pivotArea>
    </format>
    <format dxfId="20">
      <pivotArea dataOnly="0" fieldPosition="0">
        <references count="1">
          <reference field="12" count="1">
            <x v="0"/>
          </reference>
        </references>
      </pivotArea>
    </format>
    <format dxfId="19">
      <pivotArea dataOnly="0" fieldPosition="0">
        <references count="1">
          <reference field="12" count="1">
            <x v="1"/>
          </reference>
        </references>
      </pivotArea>
    </format>
    <format dxfId="18">
      <pivotArea dataOnly="0" fieldPosition="0">
        <references count="1">
          <reference field="12" count="1">
            <x v="2"/>
          </reference>
        </references>
      </pivotArea>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EB22C6-838B-40A3-8742-47DF8913767A}" name="Table1" displayName="Table1" ref="A1:M601" totalsRowShown="0" headerRowDxfId="17" dataDxfId="15" headerRowBorderDxfId="16" tableBorderDxfId="14" totalsRowBorderDxfId="13">
  <autoFilter ref="A1:M601" xr:uid="{62EB22C6-838B-40A3-8742-47DF8913767A}"/>
  <sortState xmlns:xlrd2="http://schemas.microsoft.com/office/spreadsheetml/2017/richdata2" ref="A2:M601">
    <sortCondition ref="A1:A601"/>
  </sortState>
  <tableColumns count="13">
    <tableColumn id="1" xr3:uid="{3B51CF1A-124D-47E3-9513-4FC626851871}" name="PO No" dataDxfId="12"/>
    <tableColumn id="2" xr3:uid="{3B4EB8B4-6805-4A7D-ACCB-679D6221BE29}" name="PO Date" dataDxfId="11"/>
    <tableColumn id="3" xr3:uid="{9627CD73-9051-424B-88AC-76D5A9A3D2B7}" name="Supplier" dataDxfId="10"/>
    <tableColumn id="4" xr3:uid="{F0AFE5D0-BF4B-4E09-A3FE-1C1E0BD8C5EE}" name="Category" dataDxfId="9"/>
    <tableColumn id="5" xr3:uid="{108C3222-7018-42E8-AC28-87026D91A691}" name="Department" dataDxfId="8"/>
    <tableColumn id="6" xr3:uid="{3A02156D-D345-4C81-A8C3-A45C8154B89A}" name="Item" dataDxfId="7"/>
    <tableColumn id="7" xr3:uid="{987ECDC2-4FBD-4EB8-8131-0D662DA094B0}" name="Qty" dataDxfId="6"/>
    <tableColumn id="8" xr3:uid="{A7EB8786-42B0-453C-AA47-2BC8D5B78E24}" name="Unit Cost (USD)" dataDxfId="5" dataCellStyle="Comma"/>
    <tableColumn id="9" xr3:uid="{299ED9A9-E40E-4411-AD27-109DA3121B44}" name="Spend (USD)" dataDxfId="4" dataCellStyle="Comma"/>
    <tableColumn id="10" xr3:uid="{D63C10CD-4C8D-4D74-ADD6-B500961EA301}" name="On-Time %" dataDxfId="3"/>
    <tableColumn id="11" xr3:uid="{2F80B37A-46D7-4508-BFC7-888B5ABF9700}" name="Quality" dataDxfId="2"/>
    <tableColumn id="12" xr3:uid="{EFDE83E1-0E3D-4DBE-AB31-1396E0209316}" name="Lead Days" dataDxfId="1"/>
    <tableColumn id="13" xr3:uid="{8F5911A4-86D3-451F-9D09-A7D1001535C0}" name="Statu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689C-3F15-4DBB-ADF0-D37A77C45326}">
  <dimension ref="A3:E29"/>
  <sheetViews>
    <sheetView topLeftCell="A2" zoomScale="91" zoomScaleNormal="91" workbookViewId="0">
      <selection activeCell="D31" sqref="D31"/>
    </sheetView>
  </sheetViews>
  <sheetFormatPr defaultRowHeight="14.4" x14ac:dyDescent="0.3"/>
  <cols>
    <col min="1" max="1" width="13.6640625" bestFit="1" customWidth="1"/>
    <col min="2" max="2" width="19.77734375" bestFit="1" customWidth="1"/>
  </cols>
  <sheetData>
    <row r="3" spans="1:2" ht="15.6" x14ac:dyDescent="0.3">
      <c r="A3" s="42" t="s">
        <v>667</v>
      </c>
      <c r="B3" s="43" t="s">
        <v>669</v>
      </c>
    </row>
    <row r="4" spans="1:2" ht="15.6" x14ac:dyDescent="0.3">
      <c r="A4" s="44" t="s">
        <v>27</v>
      </c>
      <c r="B4" s="46">
        <v>220915</v>
      </c>
    </row>
    <row r="5" spans="1:2" ht="15.6" x14ac:dyDescent="0.3">
      <c r="A5" s="44" t="s">
        <v>35</v>
      </c>
      <c r="B5" s="46">
        <v>280125</v>
      </c>
    </row>
    <row r="6" spans="1:2" ht="15.6" x14ac:dyDescent="0.3">
      <c r="A6" s="44" t="s">
        <v>30</v>
      </c>
      <c r="B6" s="46">
        <v>302310</v>
      </c>
    </row>
    <row r="7" spans="1:2" ht="15.6" x14ac:dyDescent="0.3">
      <c r="A7" s="44" t="s">
        <v>40</v>
      </c>
      <c r="B7" s="46">
        <v>379660</v>
      </c>
    </row>
    <row r="8" spans="1:2" ht="15.6" x14ac:dyDescent="0.3">
      <c r="A8" s="44" t="s">
        <v>8</v>
      </c>
      <c r="B8" s="46">
        <v>433060</v>
      </c>
    </row>
    <row r="9" spans="1:2" ht="15.6" x14ac:dyDescent="0.3">
      <c r="A9" s="44" t="s">
        <v>14</v>
      </c>
      <c r="B9" s="47">
        <v>487595</v>
      </c>
    </row>
    <row r="10" spans="1:2" ht="15.6" x14ac:dyDescent="0.3">
      <c r="A10" s="44" t="s">
        <v>668</v>
      </c>
      <c r="B10" s="46">
        <v>2103665</v>
      </c>
    </row>
    <row r="24" spans="5:5" x14ac:dyDescent="0.3">
      <c r="E24" s="56" t="s">
        <v>699</v>
      </c>
    </row>
    <row r="26" spans="5:5" x14ac:dyDescent="0.3">
      <c r="E26" t="s">
        <v>700</v>
      </c>
    </row>
    <row r="27" spans="5:5" x14ac:dyDescent="0.3">
      <c r="E27" t="s">
        <v>701</v>
      </c>
    </row>
    <row r="29" spans="5:5" ht="14.4" customHeight="1" x14ac:dyDescent="0.3"/>
  </sheetData>
  <conditionalFormatting pivot="1" sqref="B7">
    <cfRule type="cellIs" dxfId="155" priority="2" operator="greaterThan">
      <formula>350000</formula>
    </cfRule>
  </conditionalFormatting>
  <conditionalFormatting pivot="1" sqref="B4:B9">
    <cfRule type="cellIs" dxfId="154" priority="1" operator="greaterThan">
      <formula>350000</formula>
    </cfRule>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C5414-B8A5-4F51-843A-E19F9BA6DAD1}">
  <dimension ref="A3:S36"/>
  <sheetViews>
    <sheetView workbookViewId="0">
      <selection activeCell="B34" sqref="B34"/>
    </sheetView>
  </sheetViews>
  <sheetFormatPr defaultRowHeight="14.4" x14ac:dyDescent="0.3"/>
  <cols>
    <col min="1" max="1" width="14.33203125" bestFit="1" customWidth="1"/>
    <col min="2" max="2" width="19.77734375" bestFit="1" customWidth="1"/>
  </cols>
  <sheetData>
    <row r="3" spans="1:2" ht="15.6" x14ac:dyDescent="0.3">
      <c r="A3" s="42" t="s">
        <v>667</v>
      </c>
      <c r="B3" s="43" t="s">
        <v>669</v>
      </c>
    </row>
    <row r="4" spans="1:2" ht="15.6" x14ac:dyDescent="0.3">
      <c r="A4" s="44" t="s">
        <v>15</v>
      </c>
      <c r="B4" s="46">
        <v>352965</v>
      </c>
    </row>
    <row r="5" spans="1:2" ht="15.6" x14ac:dyDescent="0.3">
      <c r="A5" s="44" t="s">
        <v>28</v>
      </c>
      <c r="B5" s="46">
        <v>363920</v>
      </c>
    </row>
    <row r="6" spans="1:2" ht="15.6" x14ac:dyDescent="0.3">
      <c r="A6" s="44" t="s">
        <v>9</v>
      </c>
      <c r="B6" s="46">
        <v>425570</v>
      </c>
    </row>
    <row r="7" spans="1:2" ht="15.6" x14ac:dyDescent="0.3">
      <c r="A7" s="44" t="s">
        <v>24</v>
      </c>
      <c r="B7" s="46">
        <v>449905</v>
      </c>
    </row>
    <row r="8" spans="1:2" ht="15.6" x14ac:dyDescent="0.3">
      <c r="A8" s="44" t="s">
        <v>19</v>
      </c>
      <c r="B8" s="47">
        <v>511305</v>
      </c>
    </row>
    <row r="9" spans="1:2" ht="15.6" x14ac:dyDescent="0.3">
      <c r="A9" s="44" t="s">
        <v>668</v>
      </c>
      <c r="B9" s="46">
        <v>2103665</v>
      </c>
    </row>
    <row r="24" spans="4:19" x14ac:dyDescent="0.3">
      <c r="D24" s="56" t="s">
        <v>704</v>
      </c>
    </row>
    <row r="26" spans="4:19" x14ac:dyDescent="0.3">
      <c r="D26" t="s">
        <v>702</v>
      </c>
    </row>
    <row r="27" spans="4:19" x14ac:dyDescent="0.3">
      <c r="D27" t="s">
        <v>703</v>
      </c>
    </row>
    <row r="28" spans="4:19" x14ac:dyDescent="0.3">
      <c r="D28" s="52"/>
    </row>
    <row r="29" spans="4:19" x14ac:dyDescent="0.3">
      <c r="D29" s="65"/>
      <c r="E29" s="65"/>
      <c r="F29" s="65"/>
      <c r="G29" s="65"/>
      <c r="H29" s="65"/>
      <c r="I29" s="65"/>
      <c r="J29" s="65"/>
      <c r="K29" s="65"/>
      <c r="L29" s="65"/>
      <c r="M29" s="65"/>
      <c r="N29" s="65"/>
      <c r="O29" s="65"/>
      <c r="P29" s="65"/>
      <c r="Q29" s="65"/>
      <c r="R29" s="65"/>
      <c r="S29" s="65"/>
    </row>
    <row r="30" spans="4:19" x14ac:dyDescent="0.3">
      <c r="D30" s="65"/>
      <c r="E30" s="65"/>
      <c r="F30" s="65"/>
      <c r="G30" s="65"/>
      <c r="H30" s="65"/>
      <c r="I30" s="65"/>
      <c r="J30" s="65"/>
      <c r="K30" s="65"/>
      <c r="L30" s="65"/>
      <c r="M30" s="65"/>
      <c r="N30" s="65"/>
      <c r="O30" s="65"/>
      <c r="P30" s="65"/>
      <c r="Q30" s="65"/>
      <c r="R30" s="65"/>
      <c r="S30" s="65"/>
    </row>
    <row r="31" spans="4:19" x14ac:dyDescent="0.3">
      <c r="D31" s="65"/>
      <c r="E31" s="65"/>
      <c r="F31" s="65"/>
      <c r="G31" s="65"/>
      <c r="H31" s="65"/>
      <c r="I31" s="65"/>
      <c r="J31" s="65"/>
      <c r="K31" s="65"/>
      <c r="L31" s="65"/>
      <c r="M31" s="65"/>
      <c r="N31" s="65"/>
      <c r="O31" s="65"/>
      <c r="P31" s="65"/>
      <c r="Q31" s="65"/>
      <c r="R31" s="65"/>
      <c r="S31" s="65"/>
    </row>
    <row r="32" spans="4:19" x14ac:dyDescent="0.3">
      <c r="D32" s="65"/>
      <c r="E32" s="65"/>
      <c r="F32" s="65"/>
      <c r="G32" s="65"/>
      <c r="H32" s="65"/>
      <c r="I32" s="65"/>
      <c r="J32" s="65"/>
      <c r="K32" s="65"/>
      <c r="L32" s="65"/>
      <c r="M32" s="65"/>
      <c r="N32" s="65"/>
      <c r="O32" s="65"/>
      <c r="P32" s="65"/>
      <c r="Q32" s="65"/>
      <c r="R32" s="65"/>
      <c r="S32" s="65"/>
    </row>
    <row r="33" spans="4:19" x14ac:dyDescent="0.3">
      <c r="D33" s="65"/>
      <c r="E33" s="65"/>
      <c r="F33" s="65"/>
      <c r="G33" s="65"/>
      <c r="H33" s="65"/>
      <c r="I33" s="65"/>
      <c r="J33" s="65"/>
      <c r="K33" s="65"/>
      <c r="L33" s="65"/>
      <c r="M33" s="65"/>
      <c r="N33" s="65"/>
      <c r="O33" s="65"/>
      <c r="P33" s="65"/>
      <c r="Q33" s="65"/>
      <c r="R33" s="65"/>
      <c r="S33" s="65"/>
    </row>
    <row r="34" spans="4:19" x14ac:dyDescent="0.3">
      <c r="D34" s="65"/>
      <c r="E34" s="65"/>
      <c r="F34" s="65"/>
      <c r="G34" s="65"/>
      <c r="H34" s="65"/>
      <c r="I34" s="65"/>
      <c r="J34" s="65"/>
      <c r="K34" s="65"/>
      <c r="L34" s="65"/>
      <c r="M34" s="65"/>
      <c r="N34" s="65"/>
      <c r="O34" s="65"/>
      <c r="P34" s="65"/>
      <c r="Q34" s="65"/>
      <c r="R34" s="65"/>
      <c r="S34" s="65"/>
    </row>
    <row r="35" spans="4:19" x14ac:dyDescent="0.3">
      <c r="D35" s="65"/>
      <c r="E35" s="65"/>
      <c r="F35" s="65"/>
      <c r="G35" s="65"/>
      <c r="H35" s="65"/>
      <c r="I35" s="65"/>
      <c r="J35" s="65"/>
      <c r="K35" s="65"/>
      <c r="L35" s="65"/>
      <c r="M35" s="65"/>
      <c r="N35" s="65"/>
      <c r="O35" s="65"/>
      <c r="P35" s="65"/>
      <c r="Q35" s="65"/>
      <c r="R35" s="65"/>
      <c r="S35" s="65"/>
    </row>
    <row r="36" spans="4:19" x14ac:dyDescent="0.3">
      <c r="D36" s="65"/>
      <c r="E36" s="65"/>
      <c r="F36" s="65"/>
      <c r="G36" s="65"/>
      <c r="H36" s="65"/>
      <c r="I36" s="65"/>
      <c r="J36" s="65"/>
      <c r="K36" s="65"/>
      <c r="L36" s="65"/>
      <c r="M36" s="65"/>
      <c r="N36" s="65"/>
      <c r="O36" s="65"/>
      <c r="P36" s="65"/>
      <c r="Q36" s="65"/>
      <c r="R36" s="65"/>
      <c r="S36" s="65"/>
    </row>
  </sheetData>
  <conditionalFormatting pivot="1" sqref="B4:B8">
    <cfRule type="cellIs" dxfId="139" priority="1" operator="greaterThan">
      <formula>425000</formula>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691A7-DAA7-4790-908E-5DDA88E59B09}">
  <dimension ref="A3:R35"/>
  <sheetViews>
    <sheetView workbookViewId="0">
      <selection activeCell="A35" sqref="A35"/>
    </sheetView>
  </sheetViews>
  <sheetFormatPr defaultRowHeight="14.4" x14ac:dyDescent="0.3"/>
  <cols>
    <col min="1" max="1" width="23.77734375" customWidth="1"/>
    <col min="2" max="2" width="21.33203125" customWidth="1"/>
  </cols>
  <sheetData>
    <row r="3" spans="1:2" ht="15.6" x14ac:dyDescent="0.3">
      <c r="A3" s="48" t="s">
        <v>667</v>
      </c>
      <c r="B3" s="49" t="s">
        <v>669</v>
      </c>
    </row>
    <row r="4" spans="1:2" ht="15.6" x14ac:dyDescent="0.3">
      <c r="A4" s="44" t="s">
        <v>10</v>
      </c>
      <c r="B4" s="47">
        <v>488070</v>
      </c>
    </row>
    <row r="5" spans="1:2" ht="15.6" x14ac:dyDescent="0.3">
      <c r="A5" s="44" t="s">
        <v>652</v>
      </c>
      <c r="B5" s="46">
        <v>330</v>
      </c>
    </row>
    <row r="6" spans="1:2" ht="15.6" x14ac:dyDescent="0.3">
      <c r="A6" s="44" t="s">
        <v>24</v>
      </c>
      <c r="B6" s="46">
        <v>425020</v>
      </c>
    </row>
    <row r="7" spans="1:2" ht="15.6" x14ac:dyDescent="0.3">
      <c r="A7" s="44" t="s">
        <v>20</v>
      </c>
      <c r="B7" s="46">
        <v>393230</v>
      </c>
    </row>
    <row r="8" spans="1:2" ht="15.6" x14ac:dyDescent="0.3">
      <c r="A8" s="44" t="s">
        <v>42</v>
      </c>
      <c r="B8" s="46">
        <v>475225</v>
      </c>
    </row>
    <row r="9" spans="1:2" ht="15.6" x14ac:dyDescent="0.3">
      <c r="A9" s="44" t="s">
        <v>16</v>
      </c>
      <c r="B9" s="46">
        <v>321790</v>
      </c>
    </row>
    <row r="10" spans="1:2" ht="15.6" x14ac:dyDescent="0.3">
      <c r="A10" s="44" t="s">
        <v>668</v>
      </c>
      <c r="B10" s="46">
        <v>2103665</v>
      </c>
    </row>
    <row r="23" spans="3:18" x14ac:dyDescent="0.3">
      <c r="C23" s="56" t="s">
        <v>705</v>
      </c>
    </row>
    <row r="25" spans="3:18" x14ac:dyDescent="0.3">
      <c r="C25" t="s">
        <v>706</v>
      </c>
    </row>
    <row r="26" spans="3:18" x14ac:dyDescent="0.3">
      <c r="C26" t="s">
        <v>707</v>
      </c>
    </row>
    <row r="27" spans="3:18" x14ac:dyDescent="0.3">
      <c r="C27" s="52"/>
    </row>
    <row r="28" spans="3:18" x14ac:dyDescent="0.3">
      <c r="C28" s="65"/>
      <c r="D28" s="65"/>
      <c r="E28" s="65"/>
      <c r="F28" s="65"/>
      <c r="G28" s="65"/>
      <c r="H28" s="65"/>
      <c r="I28" s="65"/>
      <c r="J28" s="65"/>
      <c r="K28" s="65"/>
      <c r="L28" s="65"/>
      <c r="M28" s="65"/>
      <c r="N28" s="65"/>
      <c r="O28" s="65"/>
      <c r="P28" s="65"/>
      <c r="Q28" s="65"/>
      <c r="R28" s="65"/>
    </row>
    <row r="29" spans="3:18" x14ac:dyDescent="0.3">
      <c r="C29" s="65"/>
      <c r="D29" s="65"/>
      <c r="E29" s="65"/>
      <c r="F29" s="65"/>
      <c r="G29" s="65"/>
      <c r="H29" s="65"/>
      <c r="I29" s="65"/>
      <c r="J29" s="65"/>
      <c r="K29" s="65"/>
      <c r="L29" s="65"/>
      <c r="M29" s="65"/>
      <c r="N29" s="65"/>
      <c r="O29" s="65"/>
      <c r="P29" s="65"/>
      <c r="Q29" s="65"/>
      <c r="R29" s="65"/>
    </row>
    <row r="30" spans="3:18" x14ac:dyDescent="0.3">
      <c r="C30" s="65"/>
      <c r="D30" s="65"/>
      <c r="E30" s="65"/>
      <c r="F30" s="65"/>
      <c r="G30" s="65"/>
      <c r="H30" s="65"/>
      <c r="I30" s="65"/>
      <c r="J30" s="65"/>
      <c r="K30" s="65"/>
      <c r="L30" s="65"/>
      <c r="M30" s="65"/>
      <c r="N30" s="65"/>
      <c r="O30" s="65"/>
      <c r="P30" s="65"/>
      <c r="Q30" s="65"/>
      <c r="R30" s="65"/>
    </row>
    <row r="31" spans="3:18" x14ac:dyDescent="0.3">
      <c r="C31" s="65"/>
      <c r="D31" s="65"/>
      <c r="E31" s="65"/>
      <c r="F31" s="65"/>
      <c r="G31" s="65"/>
      <c r="H31" s="65"/>
      <c r="I31" s="65"/>
      <c r="J31" s="65"/>
      <c r="K31" s="65"/>
      <c r="L31" s="65"/>
      <c r="M31" s="65"/>
      <c r="N31" s="65"/>
      <c r="O31" s="65"/>
      <c r="P31" s="65"/>
      <c r="Q31" s="65"/>
      <c r="R31" s="65"/>
    </row>
    <row r="32" spans="3:18" x14ac:dyDescent="0.3">
      <c r="C32" s="65"/>
      <c r="D32" s="65"/>
      <c r="E32" s="65"/>
      <c r="F32" s="65"/>
      <c r="G32" s="65"/>
      <c r="H32" s="65"/>
      <c r="I32" s="65"/>
      <c r="J32" s="65"/>
      <c r="K32" s="65"/>
      <c r="L32" s="65"/>
      <c r="M32" s="65"/>
      <c r="N32" s="65"/>
      <c r="O32" s="65"/>
      <c r="P32" s="65"/>
      <c r="Q32" s="65"/>
      <c r="R32" s="65"/>
    </row>
    <row r="33" spans="3:18" x14ac:dyDescent="0.3">
      <c r="C33" s="65"/>
      <c r="D33" s="65"/>
      <c r="E33" s="65"/>
      <c r="F33" s="65"/>
      <c r="G33" s="65"/>
      <c r="H33" s="65"/>
      <c r="I33" s="65"/>
      <c r="J33" s="65"/>
      <c r="K33" s="65"/>
      <c r="L33" s="65"/>
      <c r="M33" s="65"/>
      <c r="N33" s="65"/>
      <c r="O33" s="65"/>
      <c r="P33" s="65"/>
      <c r="Q33" s="65"/>
      <c r="R33" s="65"/>
    </row>
    <row r="34" spans="3:18" x14ac:dyDescent="0.3">
      <c r="C34" s="65"/>
      <c r="D34" s="65"/>
      <c r="E34" s="65"/>
      <c r="F34" s="65"/>
      <c r="G34" s="65"/>
      <c r="H34" s="65"/>
      <c r="I34" s="65"/>
      <c r="J34" s="65"/>
      <c r="K34" s="65"/>
      <c r="L34" s="65"/>
      <c r="M34" s="65"/>
      <c r="N34" s="65"/>
      <c r="O34" s="65"/>
      <c r="P34" s="65"/>
      <c r="Q34" s="65"/>
      <c r="R34" s="65"/>
    </row>
    <row r="35" spans="3:18" x14ac:dyDescent="0.3">
      <c r="C35" s="65"/>
      <c r="D35" s="65"/>
      <c r="E35" s="65"/>
      <c r="F35" s="65"/>
      <c r="G35" s="65"/>
      <c r="H35" s="65"/>
      <c r="I35" s="65"/>
      <c r="J35" s="65"/>
      <c r="K35" s="65"/>
      <c r="L35" s="65"/>
      <c r="M35" s="65"/>
      <c r="N35" s="65"/>
      <c r="O35" s="65"/>
      <c r="P35" s="65"/>
      <c r="Q35" s="65"/>
      <c r="R35" s="65"/>
    </row>
  </sheetData>
  <conditionalFormatting pivot="1" sqref="B4:B9">
    <cfRule type="cellIs" dxfId="124" priority="1" operator="greaterThan">
      <formula>400000</formula>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E5708-F294-4102-B67E-35DDABAC348F}">
  <dimension ref="A3:R34"/>
  <sheetViews>
    <sheetView workbookViewId="0">
      <selection activeCell="F29" sqref="F29"/>
    </sheetView>
  </sheetViews>
  <sheetFormatPr defaultRowHeight="14.4" x14ac:dyDescent="0.3"/>
  <cols>
    <col min="1" max="1" width="17.5546875" customWidth="1"/>
    <col min="2" max="2" width="20.5546875" customWidth="1"/>
  </cols>
  <sheetData>
    <row r="3" spans="1:2" ht="15.6" x14ac:dyDescent="0.3">
      <c r="A3" s="42" t="s">
        <v>667</v>
      </c>
      <c r="B3" s="43" t="s">
        <v>669</v>
      </c>
    </row>
    <row r="4" spans="1:2" ht="15.6" x14ac:dyDescent="0.3">
      <c r="A4" s="44" t="s">
        <v>25</v>
      </c>
      <c r="B4" s="45">
        <v>433500</v>
      </c>
    </row>
    <row r="5" spans="1:2" ht="15.6" x14ac:dyDescent="0.3">
      <c r="A5" s="44" t="s">
        <v>11</v>
      </c>
      <c r="B5" s="45">
        <v>390540</v>
      </c>
    </row>
    <row r="6" spans="1:2" ht="15.6" x14ac:dyDescent="0.3">
      <c r="A6" s="44" t="s">
        <v>17</v>
      </c>
      <c r="B6" s="45">
        <v>369150</v>
      </c>
    </row>
    <row r="7" spans="1:2" ht="15.6" x14ac:dyDescent="0.3">
      <c r="A7" s="44" t="s">
        <v>21</v>
      </c>
      <c r="B7" s="50">
        <v>576855</v>
      </c>
    </row>
    <row r="8" spans="1:2" ht="15.6" x14ac:dyDescent="0.3">
      <c r="A8" s="44" t="s">
        <v>31</v>
      </c>
      <c r="B8" s="45">
        <v>333620</v>
      </c>
    </row>
    <row r="9" spans="1:2" ht="15.6" x14ac:dyDescent="0.3">
      <c r="A9" s="44" t="s">
        <v>668</v>
      </c>
      <c r="B9" s="45">
        <v>2103665</v>
      </c>
    </row>
    <row r="22" spans="3:18" x14ac:dyDescent="0.3">
      <c r="C22" s="56" t="s">
        <v>708</v>
      </c>
    </row>
    <row r="24" spans="3:18" x14ac:dyDescent="0.3">
      <c r="C24" t="s">
        <v>709</v>
      </c>
    </row>
    <row r="25" spans="3:18" x14ac:dyDescent="0.3">
      <c r="C25" t="s">
        <v>710</v>
      </c>
    </row>
    <row r="26" spans="3:18" x14ac:dyDescent="0.3">
      <c r="C26" s="52"/>
    </row>
    <row r="27" spans="3:18" x14ac:dyDescent="0.3">
      <c r="C27" s="65"/>
      <c r="D27" s="65"/>
      <c r="E27" s="65"/>
      <c r="F27" s="65"/>
      <c r="G27" s="65"/>
      <c r="H27" s="65"/>
      <c r="I27" s="65"/>
      <c r="J27" s="65"/>
      <c r="K27" s="65"/>
      <c r="L27" s="65"/>
      <c r="M27" s="65"/>
      <c r="N27" s="65"/>
      <c r="O27" s="65"/>
      <c r="P27" s="65"/>
      <c r="Q27" s="65"/>
      <c r="R27" s="65"/>
    </row>
    <row r="28" spans="3:18" x14ac:dyDescent="0.3">
      <c r="C28" s="65"/>
      <c r="D28" s="65"/>
      <c r="E28" s="65"/>
      <c r="F28" s="65"/>
      <c r="G28" s="65"/>
      <c r="H28" s="65"/>
      <c r="I28" s="65"/>
      <c r="J28" s="65"/>
      <c r="K28" s="65"/>
      <c r="L28" s="65"/>
      <c r="M28" s="65"/>
      <c r="N28" s="65"/>
      <c r="O28" s="65"/>
      <c r="P28" s="65"/>
      <c r="Q28" s="65"/>
      <c r="R28" s="65"/>
    </row>
    <row r="29" spans="3:18" x14ac:dyDescent="0.3">
      <c r="C29" s="65"/>
      <c r="D29" s="65"/>
      <c r="E29" s="65"/>
      <c r="F29" s="65"/>
      <c r="G29" s="65"/>
      <c r="H29" s="65"/>
      <c r="I29" s="65"/>
      <c r="J29" s="65"/>
      <c r="K29" s="65"/>
      <c r="L29" s="65"/>
      <c r="M29" s="65"/>
      <c r="N29" s="65"/>
      <c r="O29" s="65"/>
      <c r="P29" s="65"/>
      <c r="Q29" s="65"/>
      <c r="R29" s="65"/>
    </row>
    <row r="30" spans="3:18" x14ac:dyDescent="0.3">
      <c r="C30" s="65"/>
      <c r="D30" s="65"/>
      <c r="E30" s="65"/>
      <c r="F30" s="65"/>
      <c r="G30" s="65"/>
      <c r="H30" s="65"/>
      <c r="I30" s="65"/>
      <c r="J30" s="65"/>
      <c r="K30" s="65"/>
      <c r="L30" s="65"/>
      <c r="M30" s="65"/>
      <c r="N30" s="65"/>
      <c r="O30" s="65"/>
      <c r="P30" s="65"/>
      <c r="Q30" s="65"/>
      <c r="R30" s="65"/>
    </row>
    <row r="31" spans="3:18" x14ac:dyDescent="0.3">
      <c r="C31" s="65"/>
      <c r="D31" s="65"/>
      <c r="E31" s="65"/>
      <c r="F31" s="65"/>
      <c r="G31" s="65"/>
      <c r="H31" s="65"/>
      <c r="I31" s="65"/>
      <c r="J31" s="65"/>
      <c r="K31" s="65"/>
      <c r="L31" s="65"/>
      <c r="M31" s="65"/>
      <c r="N31" s="65"/>
      <c r="O31" s="65"/>
      <c r="P31" s="65"/>
      <c r="Q31" s="65"/>
      <c r="R31" s="65"/>
    </row>
    <row r="32" spans="3:18" x14ac:dyDescent="0.3">
      <c r="C32" s="65"/>
      <c r="D32" s="65"/>
      <c r="E32" s="65"/>
      <c r="F32" s="65"/>
      <c r="G32" s="65"/>
      <c r="H32" s="65"/>
      <c r="I32" s="65"/>
      <c r="J32" s="65"/>
      <c r="K32" s="65"/>
      <c r="L32" s="65"/>
      <c r="M32" s="65"/>
      <c r="N32" s="65"/>
      <c r="O32" s="65"/>
      <c r="P32" s="65"/>
      <c r="Q32" s="65"/>
      <c r="R32" s="65"/>
    </row>
    <row r="33" spans="3:18" x14ac:dyDescent="0.3">
      <c r="C33" s="65"/>
      <c r="D33" s="65"/>
      <c r="E33" s="65"/>
      <c r="F33" s="65"/>
      <c r="G33" s="65"/>
      <c r="H33" s="65"/>
      <c r="I33" s="65"/>
      <c r="J33" s="65"/>
      <c r="K33" s="65"/>
      <c r="L33" s="65"/>
      <c r="M33" s="65"/>
      <c r="N33" s="65"/>
      <c r="O33" s="65"/>
      <c r="P33" s="65"/>
      <c r="Q33" s="65"/>
      <c r="R33" s="65"/>
    </row>
    <row r="34" spans="3:18" x14ac:dyDescent="0.3">
      <c r="C34" s="65"/>
      <c r="D34" s="65"/>
      <c r="E34" s="65"/>
      <c r="F34" s="65"/>
      <c r="G34" s="65"/>
      <c r="H34" s="65"/>
      <c r="I34" s="65"/>
      <c r="J34" s="65"/>
      <c r="K34" s="65"/>
      <c r="L34" s="65"/>
      <c r="M34" s="65"/>
      <c r="N34" s="65"/>
      <c r="O34" s="65"/>
      <c r="P34" s="65"/>
      <c r="Q34" s="65"/>
      <c r="R34" s="65"/>
    </row>
  </sheetData>
  <conditionalFormatting pivot="1" sqref="B4:B8">
    <cfRule type="cellIs" dxfId="107" priority="1" operator="greaterThan">
      <formula>430000</formula>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36286-2E04-4876-88E8-20FE34C3936D}">
  <dimension ref="A3:D26"/>
  <sheetViews>
    <sheetView workbookViewId="0">
      <selection activeCell="N4" sqref="N4"/>
    </sheetView>
  </sheetViews>
  <sheetFormatPr defaultRowHeight="14.4" x14ac:dyDescent="0.3"/>
  <cols>
    <col min="1" max="1" width="18.5546875" customWidth="1"/>
    <col min="2" max="2" width="16.33203125" customWidth="1"/>
  </cols>
  <sheetData>
    <row r="3" spans="1:2" ht="15.6" x14ac:dyDescent="0.3">
      <c r="A3" s="42" t="s">
        <v>667</v>
      </c>
      <c r="B3" s="43" t="s">
        <v>670</v>
      </c>
    </row>
    <row r="4" spans="1:2" ht="15.6" x14ac:dyDescent="0.3">
      <c r="A4" s="44" t="s">
        <v>12</v>
      </c>
      <c r="B4" s="51">
        <v>23</v>
      </c>
    </row>
    <row r="5" spans="1:2" ht="15.6" x14ac:dyDescent="0.3">
      <c r="A5" s="44" t="s">
        <v>22</v>
      </c>
      <c r="B5" s="51">
        <v>482</v>
      </c>
    </row>
    <row r="6" spans="1:2" ht="15.6" x14ac:dyDescent="0.3">
      <c r="A6" s="44" t="s">
        <v>32</v>
      </c>
      <c r="B6" s="51">
        <v>95</v>
      </c>
    </row>
    <row r="7" spans="1:2" ht="15.6" x14ac:dyDescent="0.3">
      <c r="A7" s="44" t="s">
        <v>668</v>
      </c>
      <c r="B7" s="51">
        <v>600</v>
      </c>
    </row>
    <row r="24" spans="4:4" x14ac:dyDescent="0.3">
      <c r="D24" s="56" t="s">
        <v>711</v>
      </c>
    </row>
    <row r="26" spans="4:4" x14ac:dyDescent="0.3">
      <c r="D26" s="57" t="s">
        <v>712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F17A1-D30F-4A70-97B9-738D4FF93E36}">
  <dimension ref="A3:D27"/>
  <sheetViews>
    <sheetView workbookViewId="0">
      <selection activeCell="D26" sqref="D26"/>
    </sheetView>
  </sheetViews>
  <sheetFormatPr defaultRowHeight="14.4" x14ac:dyDescent="0.3"/>
  <cols>
    <col min="1" max="1" width="15.109375" customWidth="1"/>
    <col min="2" max="2" width="23" customWidth="1"/>
  </cols>
  <sheetData>
    <row r="3" spans="1:2" ht="15.6" x14ac:dyDescent="0.3">
      <c r="A3" s="42" t="s">
        <v>667</v>
      </c>
      <c r="B3" s="43" t="s">
        <v>675</v>
      </c>
    </row>
    <row r="4" spans="1:2" ht="15.6" x14ac:dyDescent="0.3">
      <c r="A4" s="44" t="s">
        <v>8</v>
      </c>
      <c r="B4" s="51">
        <v>84.933333333333337</v>
      </c>
    </row>
    <row r="5" spans="1:2" ht="15.6" x14ac:dyDescent="0.3">
      <c r="A5" s="44" t="s">
        <v>35</v>
      </c>
      <c r="B5" s="51">
        <v>84.483146067415731</v>
      </c>
    </row>
    <row r="6" spans="1:2" ht="15.6" x14ac:dyDescent="0.3">
      <c r="A6" s="44" t="s">
        <v>27</v>
      </c>
      <c r="B6" s="51">
        <v>85.127906976744185</v>
      </c>
    </row>
    <row r="7" spans="1:2" ht="15.6" x14ac:dyDescent="0.3">
      <c r="A7" s="44" t="s">
        <v>30</v>
      </c>
      <c r="B7" s="51">
        <v>84.034482758620683</v>
      </c>
    </row>
    <row r="8" spans="1:2" ht="15.6" x14ac:dyDescent="0.3">
      <c r="A8" s="44" t="s">
        <v>40</v>
      </c>
      <c r="B8" s="51">
        <v>84.574257425742573</v>
      </c>
    </row>
    <row r="9" spans="1:2" ht="15.6" x14ac:dyDescent="0.3">
      <c r="A9" s="44" t="s">
        <v>14</v>
      </c>
      <c r="B9" s="53">
        <v>85.757281553398059</v>
      </c>
    </row>
    <row r="10" spans="1:2" ht="15.6" x14ac:dyDescent="0.3">
      <c r="A10" s="44" t="s">
        <v>668</v>
      </c>
      <c r="B10" s="51">
        <v>84.801666666666662</v>
      </c>
    </row>
    <row r="23" spans="4:4" x14ac:dyDescent="0.3">
      <c r="D23" s="56" t="s">
        <v>713</v>
      </c>
    </row>
    <row r="25" spans="4:4" x14ac:dyDescent="0.3">
      <c r="D25" t="s">
        <v>714</v>
      </c>
    </row>
    <row r="26" spans="4:4" x14ac:dyDescent="0.3">
      <c r="D26" t="s">
        <v>715</v>
      </c>
    </row>
    <row r="27" spans="4:4" x14ac:dyDescent="0.3">
      <c r="D27" t="s">
        <v>716</v>
      </c>
    </row>
  </sheetData>
  <conditionalFormatting pivot="1" sqref="B4:B9">
    <cfRule type="cellIs" dxfId="80" priority="1" operator="greaterThan">
      <formula>85</formula>
    </cfRule>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19ED9-D904-496F-96BC-DB4ED5030F62}">
  <dimension ref="A3:D26"/>
  <sheetViews>
    <sheetView workbookViewId="0">
      <selection activeCell="J29" sqref="J29"/>
    </sheetView>
  </sheetViews>
  <sheetFormatPr defaultRowHeight="14.4" x14ac:dyDescent="0.3"/>
  <cols>
    <col min="1" max="1" width="16.21875" customWidth="1"/>
    <col min="2" max="2" width="20" customWidth="1"/>
  </cols>
  <sheetData>
    <row r="3" spans="1:2" ht="15.6" x14ac:dyDescent="0.3">
      <c r="A3" s="42" t="s">
        <v>667</v>
      </c>
      <c r="B3" s="43" t="s">
        <v>676</v>
      </c>
    </row>
    <row r="4" spans="1:2" ht="15.6" x14ac:dyDescent="0.3">
      <c r="A4" s="44" t="s">
        <v>8</v>
      </c>
      <c r="B4" s="54">
        <v>3.4</v>
      </c>
    </row>
    <row r="5" spans="1:2" ht="15.6" x14ac:dyDescent="0.3">
      <c r="A5" s="44" t="s">
        <v>35</v>
      </c>
      <c r="B5" s="54">
        <v>3.5730337078651684</v>
      </c>
    </row>
    <row r="6" spans="1:2" ht="15.6" x14ac:dyDescent="0.3">
      <c r="A6" s="44" t="s">
        <v>27</v>
      </c>
      <c r="B6" s="54">
        <v>3.4534883720930232</v>
      </c>
    </row>
    <row r="7" spans="1:2" ht="15.6" x14ac:dyDescent="0.3">
      <c r="A7" s="44" t="s">
        <v>30</v>
      </c>
      <c r="B7" s="54">
        <v>3.5172413793103448</v>
      </c>
    </row>
    <row r="8" spans="1:2" ht="15.6" x14ac:dyDescent="0.3">
      <c r="A8" s="44" t="s">
        <v>40</v>
      </c>
      <c r="B8" s="55">
        <v>3.613861386138614</v>
      </c>
    </row>
    <row r="9" spans="1:2" ht="15.6" x14ac:dyDescent="0.3">
      <c r="A9" s="44" t="s">
        <v>14</v>
      </c>
      <c r="B9" s="54">
        <v>3.3300970873786406</v>
      </c>
    </row>
    <row r="10" spans="1:2" ht="15.6" x14ac:dyDescent="0.3">
      <c r="A10" s="44" t="s">
        <v>668</v>
      </c>
      <c r="B10" s="51">
        <v>3.48</v>
      </c>
    </row>
    <row r="22" spans="4:4" x14ac:dyDescent="0.3">
      <c r="D22" s="56" t="s">
        <v>717</v>
      </c>
    </row>
    <row r="24" spans="4:4" x14ac:dyDescent="0.3">
      <c r="D24" t="s">
        <v>720</v>
      </c>
    </row>
    <row r="25" spans="4:4" x14ac:dyDescent="0.3">
      <c r="D25" t="s">
        <v>718</v>
      </c>
    </row>
    <row r="26" spans="4:4" x14ac:dyDescent="0.3">
      <c r="D26" t="s">
        <v>719</v>
      </c>
    </row>
  </sheetData>
  <conditionalFormatting pivot="1" sqref="B4:B9">
    <cfRule type="cellIs" dxfId="66" priority="2" operator="greaterThan">
      <formula>3.5</formula>
    </cfRule>
  </conditionalFormatting>
  <conditionalFormatting pivot="1" sqref="B4:B9">
    <cfRule type="cellIs" dxfId="65" priority="1" operator="greaterThan">
      <formula>3.5</formula>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F24D-9124-49AD-A19F-66223EB83B73}">
  <dimension ref="A3:D27"/>
  <sheetViews>
    <sheetView workbookViewId="0">
      <selection activeCell="O22" sqref="O22"/>
    </sheetView>
  </sheetViews>
  <sheetFormatPr defaultRowHeight="14.4" x14ac:dyDescent="0.3"/>
  <cols>
    <col min="1" max="1" width="15" customWidth="1"/>
    <col min="2" max="2" width="22.6640625" customWidth="1"/>
  </cols>
  <sheetData>
    <row r="3" spans="1:2" ht="15.6" x14ac:dyDescent="0.3">
      <c r="A3" s="42" t="s">
        <v>667</v>
      </c>
      <c r="B3" s="43" t="s">
        <v>677</v>
      </c>
    </row>
    <row r="4" spans="1:2" ht="15.6" x14ac:dyDescent="0.3">
      <c r="A4" s="44" t="s">
        <v>8</v>
      </c>
      <c r="B4" s="51">
        <v>10.847619047619048</v>
      </c>
    </row>
    <row r="5" spans="1:2" ht="15.6" x14ac:dyDescent="0.3">
      <c r="A5" s="44" t="s">
        <v>35</v>
      </c>
      <c r="B5" s="51">
        <v>10.269662921348315</v>
      </c>
    </row>
    <row r="6" spans="1:2" ht="15.6" x14ac:dyDescent="0.3">
      <c r="A6" s="44" t="s">
        <v>27</v>
      </c>
      <c r="B6" s="53">
        <v>10.081395348837209</v>
      </c>
    </row>
    <row r="7" spans="1:2" ht="15.6" x14ac:dyDescent="0.3">
      <c r="A7" s="44" t="s">
        <v>30</v>
      </c>
      <c r="B7" s="51">
        <v>11.275862068965518</v>
      </c>
    </row>
    <row r="8" spans="1:2" ht="15.6" x14ac:dyDescent="0.3">
      <c r="A8" s="44" t="s">
        <v>40</v>
      </c>
      <c r="B8" s="51">
        <v>11.772277227722773</v>
      </c>
    </row>
    <row r="9" spans="1:2" ht="15.6" x14ac:dyDescent="0.3">
      <c r="A9" s="44" t="s">
        <v>14</v>
      </c>
      <c r="B9" s="51">
        <v>12.058252427184467</v>
      </c>
    </row>
    <row r="10" spans="1:2" ht="15.6" x14ac:dyDescent="0.3">
      <c r="A10" s="44" t="s">
        <v>668</v>
      </c>
      <c r="B10" s="51">
        <v>11.098333333333333</v>
      </c>
    </row>
    <row r="23" spans="4:4" x14ac:dyDescent="0.3">
      <c r="D23" s="56" t="s">
        <v>721</v>
      </c>
    </row>
    <row r="25" spans="4:4" x14ac:dyDescent="0.3">
      <c r="D25" t="s">
        <v>722</v>
      </c>
    </row>
    <row r="26" spans="4:4" x14ac:dyDescent="0.3">
      <c r="D26" t="s">
        <v>723</v>
      </c>
    </row>
    <row r="27" spans="4:4" x14ac:dyDescent="0.3">
      <c r="D27" t="s">
        <v>724</v>
      </c>
    </row>
  </sheetData>
  <conditionalFormatting pivot="1" sqref="B4:B9">
    <cfRule type="cellIs" dxfId="50" priority="1" operator="lessThan">
      <formula>11</formula>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7AD85-DF76-4C47-AFC5-911DFFC210CB}">
  <dimension ref="A3:K31"/>
  <sheetViews>
    <sheetView topLeftCell="A2" zoomScale="82" zoomScaleNormal="82" workbookViewId="0">
      <selection activeCell="Q19" sqref="Q19"/>
    </sheetView>
  </sheetViews>
  <sheetFormatPr defaultRowHeight="14.4" x14ac:dyDescent="0.3"/>
  <cols>
    <col min="1" max="1" width="13.88671875" bestFit="1" customWidth="1"/>
    <col min="2" max="2" width="14.109375" bestFit="1" customWidth="1"/>
    <col min="4" max="4" width="11.5546875" customWidth="1"/>
    <col min="5" max="5" width="10" customWidth="1"/>
    <col min="6" max="6" width="9.88671875" customWidth="1"/>
    <col min="7" max="7" width="9.77734375" customWidth="1"/>
    <col min="8" max="8" width="10.6640625" customWidth="1"/>
    <col min="9" max="9" width="9.88671875" customWidth="1"/>
    <col min="10" max="10" width="10" customWidth="1"/>
    <col min="11" max="11" width="10.44140625" customWidth="1"/>
  </cols>
  <sheetData>
    <row r="3" spans="1:2" x14ac:dyDescent="0.3">
      <c r="A3" s="67" t="s">
        <v>667</v>
      </c>
      <c r="B3" s="66" t="s">
        <v>670</v>
      </c>
    </row>
    <row r="4" spans="1:2" x14ac:dyDescent="0.3">
      <c r="A4" s="68" t="s">
        <v>8</v>
      </c>
      <c r="B4" s="69">
        <v>105</v>
      </c>
    </row>
    <row r="5" spans="1:2" x14ac:dyDescent="0.3">
      <c r="A5" s="70" t="s">
        <v>12</v>
      </c>
      <c r="B5" s="71">
        <v>6</v>
      </c>
    </row>
    <row r="6" spans="1:2" x14ac:dyDescent="0.3">
      <c r="A6" s="72" t="s">
        <v>22</v>
      </c>
      <c r="B6" s="73">
        <v>90</v>
      </c>
    </row>
    <row r="7" spans="1:2" x14ac:dyDescent="0.3">
      <c r="A7" s="74" t="s">
        <v>32</v>
      </c>
      <c r="B7" s="75">
        <v>9</v>
      </c>
    </row>
    <row r="8" spans="1:2" x14ac:dyDescent="0.3">
      <c r="A8" s="68" t="s">
        <v>35</v>
      </c>
      <c r="B8" s="69">
        <v>89</v>
      </c>
    </row>
    <row r="9" spans="1:2" x14ac:dyDescent="0.3">
      <c r="A9" s="70" t="s">
        <v>12</v>
      </c>
      <c r="B9" s="71">
        <v>1</v>
      </c>
    </row>
    <row r="10" spans="1:2" x14ac:dyDescent="0.3">
      <c r="A10" s="72" t="s">
        <v>22</v>
      </c>
      <c r="B10" s="73">
        <v>78</v>
      </c>
    </row>
    <row r="11" spans="1:2" x14ac:dyDescent="0.3">
      <c r="A11" s="74" t="s">
        <v>32</v>
      </c>
      <c r="B11" s="75">
        <v>10</v>
      </c>
    </row>
    <row r="12" spans="1:2" x14ac:dyDescent="0.3">
      <c r="A12" s="68" t="s">
        <v>27</v>
      </c>
      <c r="B12" s="69">
        <v>86</v>
      </c>
    </row>
    <row r="13" spans="1:2" x14ac:dyDescent="0.3">
      <c r="A13" s="70" t="s">
        <v>12</v>
      </c>
      <c r="B13" s="71">
        <v>5</v>
      </c>
    </row>
    <row r="14" spans="1:2" x14ac:dyDescent="0.3">
      <c r="A14" s="72" t="s">
        <v>22</v>
      </c>
      <c r="B14" s="73">
        <v>61</v>
      </c>
    </row>
    <row r="15" spans="1:2" x14ac:dyDescent="0.3">
      <c r="A15" s="74" t="s">
        <v>32</v>
      </c>
      <c r="B15" s="75">
        <v>20</v>
      </c>
    </row>
    <row r="16" spans="1:2" x14ac:dyDescent="0.3">
      <c r="A16" s="68" t="s">
        <v>30</v>
      </c>
      <c r="B16" s="69">
        <v>116</v>
      </c>
    </row>
    <row r="17" spans="1:11" x14ac:dyDescent="0.3">
      <c r="A17" s="70" t="s">
        <v>12</v>
      </c>
      <c r="B17" s="71">
        <v>8</v>
      </c>
    </row>
    <row r="18" spans="1:11" x14ac:dyDescent="0.3">
      <c r="A18" s="72" t="s">
        <v>22</v>
      </c>
      <c r="B18" s="73">
        <v>92</v>
      </c>
    </row>
    <row r="19" spans="1:11" x14ac:dyDescent="0.3">
      <c r="A19" s="74" t="s">
        <v>32</v>
      </c>
      <c r="B19" s="75">
        <v>16</v>
      </c>
    </row>
    <row r="20" spans="1:11" x14ac:dyDescent="0.3">
      <c r="A20" s="68" t="s">
        <v>40</v>
      </c>
      <c r="B20" s="69">
        <v>101</v>
      </c>
    </row>
    <row r="21" spans="1:11" x14ac:dyDescent="0.3">
      <c r="A21" s="70" t="s">
        <v>12</v>
      </c>
      <c r="B21" s="71">
        <v>1</v>
      </c>
    </row>
    <row r="22" spans="1:11" x14ac:dyDescent="0.3">
      <c r="A22" s="72" t="s">
        <v>22</v>
      </c>
      <c r="B22" s="73">
        <v>83</v>
      </c>
    </row>
    <row r="23" spans="1:11" x14ac:dyDescent="0.3">
      <c r="A23" s="74" t="s">
        <v>32</v>
      </c>
      <c r="B23" s="75">
        <v>17</v>
      </c>
    </row>
    <row r="24" spans="1:11" x14ac:dyDescent="0.3">
      <c r="A24" s="68" t="s">
        <v>14</v>
      </c>
      <c r="B24" s="69">
        <v>103</v>
      </c>
      <c r="E24" s="5"/>
    </row>
    <row r="25" spans="1:11" x14ac:dyDescent="0.3">
      <c r="A25" s="70" t="s">
        <v>12</v>
      </c>
      <c r="B25" s="71">
        <v>2</v>
      </c>
      <c r="D25" s="97" t="s">
        <v>733</v>
      </c>
      <c r="E25" s="98"/>
      <c r="F25" s="77" t="s">
        <v>8</v>
      </c>
      <c r="G25" s="77" t="s">
        <v>35</v>
      </c>
      <c r="H25" s="77" t="s">
        <v>27</v>
      </c>
      <c r="I25" s="77" t="s">
        <v>30</v>
      </c>
      <c r="J25" s="77" t="s">
        <v>40</v>
      </c>
      <c r="K25" s="77" t="s">
        <v>14</v>
      </c>
    </row>
    <row r="26" spans="1:11" x14ac:dyDescent="0.3">
      <c r="A26" s="72" t="s">
        <v>22</v>
      </c>
      <c r="B26" s="73">
        <v>78</v>
      </c>
      <c r="D26" s="66"/>
      <c r="E26" s="76" t="s">
        <v>730</v>
      </c>
      <c r="F26" s="2">
        <v>9</v>
      </c>
      <c r="G26" s="2">
        <v>10</v>
      </c>
      <c r="H26" s="2">
        <v>20</v>
      </c>
      <c r="I26" s="2">
        <v>16</v>
      </c>
      <c r="J26" s="2">
        <v>17</v>
      </c>
      <c r="K26" s="78">
        <v>23</v>
      </c>
    </row>
    <row r="27" spans="1:11" x14ac:dyDescent="0.3">
      <c r="A27" s="74" t="s">
        <v>32</v>
      </c>
      <c r="B27" s="75">
        <v>23</v>
      </c>
      <c r="D27" s="66"/>
      <c r="E27" s="76" t="s">
        <v>731</v>
      </c>
      <c r="F27" s="2">
        <v>6</v>
      </c>
      <c r="G27" s="2">
        <v>1</v>
      </c>
      <c r="H27" s="2">
        <v>5</v>
      </c>
      <c r="I27" s="78">
        <v>8</v>
      </c>
      <c r="J27" s="2">
        <v>1</v>
      </c>
      <c r="K27" s="2">
        <v>2</v>
      </c>
    </row>
    <row r="28" spans="1:11" x14ac:dyDescent="0.3">
      <c r="A28" s="68" t="s">
        <v>668</v>
      </c>
      <c r="B28" s="69">
        <v>600</v>
      </c>
      <c r="D28" s="66"/>
      <c r="E28" s="76" t="s">
        <v>732</v>
      </c>
      <c r="F28" s="2">
        <v>90</v>
      </c>
      <c r="G28" s="2">
        <v>78</v>
      </c>
      <c r="H28" s="2">
        <v>61</v>
      </c>
      <c r="I28" s="78">
        <v>92</v>
      </c>
      <c r="J28" s="2">
        <v>83</v>
      </c>
      <c r="K28" s="2">
        <v>78</v>
      </c>
    </row>
    <row r="29" spans="1:11" x14ac:dyDescent="0.3">
      <c r="D29" s="102" t="s">
        <v>734</v>
      </c>
      <c r="E29" s="103"/>
      <c r="F29" s="79">
        <v>105</v>
      </c>
      <c r="G29" s="79">
        <v>89</v>
      </c>
      <c r="H29" s="79">
        <v>86</v>
      </c>
      <c r="I29" s="82">
        <v>116</v>
      </c>
      <c r="J29" s="79">
        <v>101</v>
      </c>
      <c r="K29" s="79">
        <v>103</v>
      </c>
    </row>
    <row r="30" spans="1:11" x14ac:dyDescent="0.3">
      <c r="D30" s="99" t="s">
        <v>735</v>
      </c>
      <c r="E30" s="100"/>
      <c r="F30" s="80">
        <f>F26/F29*100</f>
        <v>8.5714285714285712</v>
      </c>
      <c r="G30" s="80">
        <f t="shared" ref="G30:K30" si="0">G26/G29*100</f>
        <v>11.235955056179774</v>
      </c>
      <c r="H30" s="81">
        <f t="shared" si="0"/>
        <v>23.255813953488371</v>
      </c>
      <c r="I30" s="80">
        <f t="shared" si="0"/>
        <v>13.793103448275861</v>
      </c>
      <c r="J30" s="80">
        <f t="shared" si="0"/>
        <v>16.831683168316832</v>
      </c>
      <c r="K30" s="80">
        <f t="shared" si="0"/>
        <v>22.330097087378643</v>
      </c>
    </row>
    <row r="31" spans="1:11" x14ac:dyDescent="0.3">
      <c r="D31" s="101" t="s">
        <v>736</v>
      </c>
      <c r="E31" s="101"/>
      <c r="F31" s="80">
        <f>F27/F29*100</f>
        <v>5.7142857142857144</v>
      </c>
      <c r="G31" s="80">
        <f t="shared" ref="G31:K31" si="1">G27/G29*100</f>
        <v>1.1235955056179776</v>
      </c>
      <c r="H31" s="80">
        <f t="shared" si="1"/>
        <v>5.8139534883720927</v>
      </c>
      <c r="I31" s="81">
        <f t="shared" si="1"/>
        <v>6.8965517241379306</v>
      </c>
      <c r="J31" s="80">
        <f t="shared" si="1"/>
        <v>0.99009900990099009</v>
      </c>
      <c r="K31" s="80">
        <f t="shared" si="1"/>
        <v>1.9417475728155338</v>
      </c>
    </row>
  </sheetData>
  <mergeCells count="4">
    <mergeCell ref="D25:E25"/>
    <mergeCell ref="D30:E30"/>
    <mergeCell ref="D31:E31"/>
    <mergeCell ref="D29:E29"/>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687"/>
  <sheetViews>
    <sheetView zoomScale="72" zoomScaleNormal="72" workbookViewId="0">
      <pane ySplit="1" topLeftCell="A2" activePane="bottomLeft" state="frozen"/>
      <selection activeCell="F1" sqref="F1"/>
      <selection pane="bottomLeft" activeCell="AO194" sqref="AO194"/>
    </sheetView>
  </sheetViews>
  <sheetFormatPr defaultRowHeight="14.4" x14ac:dyDescent="0.3"/>
  <cols>
    <col min="1" max="1" width="10.77734375" customWidth="1"/>
    <col min="2" max="2" width="12.5546875" customWidth="1"/>
    <col min="3" max="3" width="13.6640625" customWidth="1"/>
    <col min="4" max="4" width="18.21875" customWidth="1"/>
    <col min="5" max="5" width="14.77734375" customWidth="1"/>
    <col min="6" max="6" width="13.33203125" customWidth="1"/>
    <col min="8" max="8" width="16.77734375" style="5" customWidth="1"/>
    <col min="9" max="9" width="14.44140625" style="5" customWidth="1"/>
    <col min="10" max="10" width="12" customWidth="1"/>
    <col min="11" max="11" width="8.88671875" customWidth="1"/>
    <col min="12" max="12" width="11.33203125" customWidth="1"/>
    <col min="13" max="13" width="14.5546875" customWidth="1"/>
    <col min="19" max="19" width="11.77734375" customWidth="1"/>
    <col min="20" max="20" width="15.6640625" customWidth="1"/>
    <col min="21" max="21" width="10.6640625" customWidth="1"/>
    <col min="22" max="22" width="10.33203125" customWidth="1"/>
    <col min="23" max="23" width="14.44140625" customWidth="1"/>
    <col min="24" max="24" width="12.33203125" customWidth="1"/>
    <col min="29" max="29" width="22" customWidth="1"/>
  </cols>
  <sheetData>
    <row r="1" spans="1:24" s="1" customFormat="1" ht="34.799999999999997" customHeight="1" x14ac:dyDescent="0.3">
      <c r="A1" s="18" t="s">
        <v>633</v>
      </c>
      <c r="B1" s="19" t="s">
        <v>634</v>
      </c>
      <c r="C1" s="19" t="s">
        <v>0</v>
      </c>
      <c r="D1" s="19" t="s">
        <v>1</v>
      </c>
      <c r="E1" s="19" t="s">
        <v>2</v>
      </c>
      <c r="F1" s="19" t="s">
        <v>3</v>
      </c>
      <c r="G1" s="19" t="s">
        <v>4</v>
      </c>
      <c r="H1" s="20" t="s">
        <v>632</v>
      </c>
      <c r="I1" s="20" t="s">
        <v>631</v>
      </c>
      <c r="J1" s="19" t="s">
        <v>636</v>
      </c>
      <c r="K1" s="19" t="s">
        <v>5</v>
      </c>
      <c r="L1" s="19" t="s">
        <v>635</v>
      </c>
      <c r="M1" s="21" t="s">
        <v>6</v>
      </c>
      <c r="P1" s="159" t="s">
        <v>647</v>
      </c>
      <c r="Q1" s="159"/>
      <c r="R1" s="159"/>
      <c r="S1" s="159"/>
      <c r="T1" s="159"/>
      <c r="U1" s="159"/>
      <c r="V1" s="159"/>
      <c r="W1" s="159"/>
      <c r="X1" s="159"/>
    </row>
    <row r="2" spans="1:24" x14ac:dyDescent="0.3">
      <c r="A2" s="27" t="s">
        <v>7</v>
      </c>
      <c r="B2" s="3">
        <v>46036</v>
      </c>
      <c r="C2" s="2" t="s">
        <v>8</v>
      </c>
      <c r="D2" s="2" t="s">
        <v>9</v>
      </c>
      <c r="E2" s="2" t="s">
        <v>10</v>
      </c>
      <c r="F2" s="2" t="s">
        <v>11</v>
      </c>
      <c r="G2" s="2">
        <v>30</v>
      </c>
      <c r="H2" s="4">
        <v>10</v>
      </c>
      <c r="I2" s="4">
        <v>300</v>
      </c>
      <c r="J2" s="2">
        <v>70</v>
      </c>
      <c r="K2" s="2">
        <v>5</v>
      </c>
      <c r="L2" s="2">
        <v>17</v>
      </c>
      <c r="M2" s="17" t="s">
        <v>12</v>
      </c>
    </row>
    <row r="3" spans="1:24" ht="18" x14ac:dyDescent="0.35">
      <c r="A3" s="16" t="s">
        <v>13</v>
      </c>
      <c r="B3" s="3">
        <v>46027</v>
      </c>
      <c r="C3" s="2" t="s">
        <v>14</v>
      </c>
      <c r="D3" s="2" t="s">
        <v>15</v>
      </c>
      <c r="E3" s="2" t="s">
        <v>16</v>
      </c>
      <c r="F3" s="2" t="s">
        <v>17</v>
      </c>
      <c r="G3" s="2">
        <v>28</v>
      </c>
      <c r="H3" s="4">
        <v>20</v>
      </c>
      <c r="I3" s="4">
        <v>560</v>
      </c>
      <c r="J3" s="2">
        <v>73</v>
      </c>
      <c r="K3" s="2">
        <v>3</v>
      </c>
      <c r="L3" s="2">
        <v>20</v>
      </c>
      <c r="M3" s="17" t="s">
        <v>12</v>
      </c>
      <c r="P3" s="113" t="s">
        <v>673</v>
      </c>
      <c r="Q3" s="113"/>
    </row>
    <row r="4" spans="1:24" ht="21" x14ac:dyDescent="0.3">
      <c r="A4" s="16" t="s">
        <v>18</v>
      </c>
      <c r="B4" s="3">
        <v>46091</v>
      </c>
      <c r="C4" s="2" t="s">
        <v>14</v>
      </c>
      <c r="D4" s="2" t="s">
        <v>19</v>
      </c>
      <c r="E4" s="2" t="s">
        <v>20</v>
      </c>
      <c r="F4" s="2" t="s">
        <v>21</v>
      </c>
      <c r="G4" s="2">
        <v>74</v>
      </c>
      <c r="H4" s="4">
        <v>250</v>
      </c>
      <c r="I4" s="4">
        <v>18500</v>
      </c>
      <c r="J4" s="2">
        <v>84</v>
      </c>
      <c r="K4" s="2">
        <v>2</v>
      </c>
      <c r="L4" s="2">
        <v>16</v>
      </c>
      <c r="M4" s="17" t="s">
        <v>22</v>
      </c>
      <c r="P4" s="158" t="s">
        <v>671</v>
      </c>
      <c r="Q4" s="158"/>
      <c r="R4" s="158"/>
      <c r="S4" s="158"/>
      <c r="T4" s="158"/>
      <c r="U4" s="158"/>
      <c r="V4" s="158"/>
      <c r="W4" s="158"/>
      <c r="X4" s="158"/>
    </row>
    <row r="5" spans="1:24" x14ac:dyDescent="0.3">
      <c r="A5" s="16" t="s">
        <v>23</v>
      </c>
      <c r="B5" s="3">
        <v>46116</v>
      </c>
      <c r="C5" s="2" t="s">
        <v>14</v>
      </c>
      <c r="D5" s="2" t="s">
        <v>9</v>
      </c>
      <c r="E5" s="2" t="s">
        <v>24</v>
      </c>
      <c r="F5" s="2" t="s">
        <v>25</v>
      </c>
      <c r="G5" s="2">
        <v>34</v>
      </c>
      <c r="H5" s="4">
        <v>250</v>
      </c>
      <c r="I5" s="4">
        <v>8500</v>
      </c>
      <c r="J5" s="2">
        <v>75</v>
      </c>
      <c r="K5" s="2">
        <v>3</v>
      </c>
      <c r="L5" s="2">
        <v>20</v>
      </c>
      <c r="M5" s="17" t="s">
        <v>22</v>
      </c>
    </row>
    <row r="6" spans="1:24" x14ac:dyDescent="0.3">
      <c r="A6" s="16" t="s">
        <v>26</v>
      </c>
      <c r="B6" s="3">
        <v>46075</v>
      </c>
      <c r="C6" s="2" t="s">
        <v>27</v>
      </c>
      <c r="D6" s="2" t="s">
        <v>28</v>
      </c>
      <c r="E6" s="2" t="s">
        <v>10</v>
      </c>
      <c r="F6" s="2" t="s">
        <v>11</v>
      </c>
      <c r="G6" s="2">
        <v>17</v>
      </c>
      <c r="H6" s="4">
        <v>20</v>
      </c>
      <c r="I6" s="4">
        <v>340</v>
      </c>
      <c r="J6" s="2">
        <v>96</v>
      </c>
      <c r="K6" s="2">
        <v>2</v>
      </c>
      <c r="L6" s="2">
        <v>5</v>
      </c>
      <c r="M6" s="17" t="s">
        <v>22</v>
      </c>
    </row>
    <row r="7" spans="1:24" x14ac:dyDescent="0.3">
      <c r="A7" s="16" t="s">
        <v>29</v>
      </c>
      <c r="B7" s="3">
        <v>46065</v>
      </c>
      <c r="C7" s="2" t="s">
        <v>30</v>
      </c>
      <c r="D7" s="2" t="s">
        <v>9</v>
      </c>
      <c r="E7" s="2" t="s">
        <v>16</v>
      </c>
      <c r="F7" s="2" t="s">
        <v>31</v>
      </c>
      <c r="G7" s="2">
        <v>75</v>
      </c>
      <c r="H7" s="4">
        <v>5</v>
      </c>
      <c r="I7" s="4">
        <v>375</v>
      </c>
      <c r="J7" s="2">
        <v>83</v>
      </c>
      <c r="K7" s="2">
        <v>4</v>
      </c>
      <c r="L7" s="2">
        <v>20</v>
      </c>
      <c r="M7" s="17" t="s">
        <v>32</v>
      </c>
    </row>
    <row r="8" spans="1:24" x14ac:dyDescent="0.3">
      <c r="A8" s="16" t="s">
        <v>33</v>
      </c>
      <c r="B8" s="3">
        <v>46076</v>
      </c>
      <c r="C8" s="2" t="s">
        <v>30</v>
      </c>
      <c r="D8" s="2" t="s">
        <v>9</v>
      </c>
      <c r="E8" s="2" t="s">
        <v>10</v>
      </c>
      <c r="F8" s="2" t="s">
        <v>31</v>
      </c>
      <c r="G8" s="2">
        <v>63</v>
      </c>
      <c r="H8" s="4">
        <v>10</v>
      </c>
      <c r="I8" s="4">
        <v>630</v>
      </c>
      <c r="J8" s="2">
        <v>84</v>
      </c>
      <c r="K8" s="2">
        <v>5</v>
      </c>
      <c r="L8" s="2">
        <v>5</v>
      </c>
      <c r="M8" s="17" t="s">
        <v>22</v>
      </c>
    </row>
    <row r="9" spans="1:24" x14ac:dyDescent="0.3">
      <c r="A9" s="16" t="s">
        <v>34</v>
      </c>
      <c r="B9" s="3">
        <v>46188</v>
      </c>
      <c r="C9" s="2" t="s">
        <v>35</v>
      </c>
      <c r="D9" s="2" t="s">
        <v>15</v>
      </c>
      <c r="E9" s="2" t="s">
        <v>24</v>
      </c>
      <c r="F9" s="2" t="s">
        <v>31</v>
      </c>
      <c r="G9" s="2">
        <v>48</v>
      </c>
      <c r="H9" s="4">
        <v>100</v>
      </c>
      <c r="I9" s="4">
        <v>4800</v>
      </c>
      <c r="J9" s="2">
        <v>80</v>
      </c>
      <c r="K9" s="2">
        <v>2</v>
      </c>
      <c r="L9" s="2">
        <v>9</v>
      </c>
      <c r="M9" s="17" t="s">
        <v>22</v>
      </c>
    </row>
    <row r="10" spans="1:24" x14ac:dyDescent="0.3">
      <c r="A10" s="16" t="s">
        <v>36</v>
      </c>
      <c r="B10" s="3">
        <v>46175</v>
      </c>
      <c r="C10" s="2" t="s">
        <v>37</v>
      </c>
      <c r="D10" s="2" t="s">
        <v>15</v>
      </c>
      <c r="E10" s="2" t="s">
        <v>20</v>
      </c>
      <c r="F10" s="2" t="s">
        <v>21</v>
      </c>
      <c r="G10" s="2">
        <v>66</v>
      </c>
      <c r="H10" s="4">
        <v>5</v>
      </c>
      <c r="I10" s="4">
        <v>330</v>
      </c>
      <c r="J10" s="2">
        <v>83</v>
      </c>
      <c r="K10" s="2">
        <v>2</v>
      </c>
      <c r="L10" s="2">
        <v>7</v>
      </c>
      <c r="M10" s="17" t="s">
        <v>22</v>
      </c>
    </row>
    <row r="11" spans="1:24" x14ac:dyDescent="0.3">
      <c r="A11" s="16" t="s">
        <v>38</v>
      </c>
      <c r="B11" s="3">
        <v>46132</v>
      </c>
      <c r="C11" s="2" t="s">
        <v>30</v>
      </c>
      <c r="D11" s="2" t="s">
        <v>19</v>
      </c>
      <c r="E11" s="2" t="s">
        <v>10</v>
      </c>
      <c r="F11" s="2" t="s">
        <v>17</v>
      </c>
      <c r="G11" s="2">
        <v>87</v>
      </c>
      <c r="H11" s="4">
        <v>5</v>
      </c>
      <c r="I11" s="4">
        <v>435</v>
      </c>
      <c r="J11" s="2">
        <v>98</v>
      </c>
      <c r="K11" s="2">
        <v>4</v>
      </c>
      <c r="L11" s="2">
        <v>7</v>
      </c>
      <c r="M11" s="17" t="s">
        <v>22</v>
      </c>
    </row>
    <row r="12" spans="1:24" x14ac:dyDescent="0.3">
      <c r="A12" s="16" t="s">
        <v>39</v>
      </c>
      <c r="B12" s="3">
        <v>46145</v>
      </c>
      <c r="C12" s="2" t="s">
        <v>40</v>
      </c>
      <c r="D12" s="2" t="s">
        <v>15</v>
      </c>
      <c r="E12" s="2" t="s">
        <v>16</v>
      </c>
      <c r="F12" s="2" t="s">
        <v>11</v>
      </c>
      <c r="G12" s="2">
        <v>33</v>
      </c>
      <c r="H12" s="4">
        <v>5</v>
      </c>
      <c r="I12" s="4">
        <v>165</v>
      </c>
      <c r="J12" s="2">
        <v>88</v>
      </c>
      <c r="K12" s="2">
        <v>2</v>
      </c>
      <c r="L12" s="2">
        <v>5</v>
      </c>
      <c r="M12" s="17" t="s">
        <v>22</v>
      </c>
    </row>
    <row r="13" spans="1:24" x14ac:dyDescent="0.3">
      <c r="A13" s="16" t="s">
        <v>41</v>
      </c>
      <c r="B13" s="3">
        <v>46098</v>
      </c>
      <c r="C13" s="2" t="s">
        <v>14</v>
      </c>
      <c r="D13" s="2" t="s">
        <v>9</v>
      </c>
      <c r="E13" s="2" t="s">
        <v>42</v>
      </c>
      <c r="F13" s="2" t="s">
        <v>21</v>
      </c>
      <c r="G13" s="2">
        <v>7</v>
      </c>
      <c r="H13" s="4">
        <v>250</v>
      </c>
      <c r="I13" s="4">
        <v>1750</v>
      </c>
      <c r="J13" s="2">
        <v>84</v>
      </c>
      <c r="K13" s="2">
        <v>3</v>
      </c>
      <c r="L13" s="2">
        <v>12</v>
      </c>
      <c r="M13" s="17" t="s">
        <v>22</v>
      </c>
    </row>
    <row r="14" spans="1:24" x14ac:dyDescent="0.3">
      <c r="A14" s="16" t="s">
        <v>43</v>
      </c>
      <c r="B14" s="3">
        <v>46064</v>
      </c>
      <c r="C14" s="2" t="s">
        <v>30</v>
      </c>
      <c r="D14" s="2" t="s">
        <v>19</v>
      </c>
      <c r="E14" s="2" t="s">
        <v>10</v>
      </c>
      <c r="F14" s="2" t="s">
        <v>21</v>
      </c>
      <c r="G14" s="2">
        <v>5</v>
      </c>
      <c r="H14" s="4">
        <v>10</v>
      </c>
      <c r="I14" s="4">
        <v>50</v>
      </c>
      <c r="J14" s="2">
        <v>88</v>
      </c>
      <c r="K14" s="2">
        <v>4</v>
      </c>
      <c r="L14" s="2">
        <v>19</v>
      </c>
      <c r="M14" s="17" t="s">
        <v>22</v>
      </c>
    </row>
    <row r="15" spans="1:24" x14ac:dyDescent="0.3">
      <c r="A15" s="16" t="s">
        <v>44</v>
      </c>
      <c r="B15" s="3">
        <v>46057</v>
      </c>
      <c r="C15" s="2" t="s">
        <v>27</v>
      </c>
      <c r="D15" s="2" t="s">
        <v>15</v>
      </c>
      <c r="E15" s="2" t="s">
        <v>42</v>
      </c>
      <c r="F15" s="2" t="s">
        <v>21</v>
      </c>
      <c r="G15" s="2">
        <v>15</v>
      </c>
      <c r="H15" s="4">
        <v>250</v>
      </c>
      <c r="I15" s="4">
        <v>3750</v>
      </c>
      <c r="J15" s="2">
        <v>87</v>
      </c>
      <c r="K15" s="2">
        <v>2</v>
      </c>
      <c r="L15" s="2">
        <v>7</v>
      </c>
      <c r="M15" s="17" t="s">
        <v>22</v>
      </c>
    </row>
    <row r="16" spans="1:24" x14ac:dyDescent="0.3">
      <c r="A16" s="16" t="s">
        <v>45</v>
      </c>
      <c r="B16" s="3">
        <v>46164</v>
      </c>
      <c r="C16" s="2" t="s">
        <v>40</v>
      </c>
      <c r="D16" s="2" t="s">
        <v>24</v>
      </c>
      <c r="E16" s="2" t="s">
        <v>24</v>
      </c>
      <c r="F16" s="2" t="s">
        <v>25</v>
      </c>
      <c r="G16" s="2">
        <v>55</v>
      </c>
      <c r="H16" s="4">
        <v>50</v>
      </c>
      <c r="I16" s="4">
        <v>2750</v>
      </c>
      <c r="J16" s="2">
        <v>74</v>
      </c>
      <c r="K16" s="2">
        <v>4</v>
      </c>
      <c r="L16" s="2">
        <v>11</v>
      </c>
      <c r="M16" s="17" t="s">
        <v>22</v>
      </c>
    </row>
    <row r="17" spans="1:13" x14ac:dyDescent="0.3">
      <c r="A17" s="16" t="s">
        <v>46</v>
      </c>
      <c r="B17" s="3">
        <v>46153</v>
      </c>
      <c r="C17" s="2" t="s">
        <v>8</v>
      </c>
      <c r="D17" s="2" t="s">
        <v>9</v>
      </c>
      <c r="E17" s="2" t="s">
        <v>24</v>
      </c>
      <c r="F17" s="2" t="s">
        <v>21</v>
      </c>
      <c r="G17" s="2">
        <v>65</v>
      </c>
      <c r="H17" s="4">
        <v>5</v>
      </c>
      <c r="I17" s="4">
        <v>325</v>
      </c>
      <c r="J17" s="2">
        <v>98</v>
      </c>
      <c r="K17" s="2">
        <v>2</v>
      </c>
      <c r="L17" s="2">
        <v>6</v>
      </c>
      <c r="M17" s="17" t="s">
        <v>22</v>
      </c>
    </row>
    <row r="18" spans="1:13" x14ac:dyDescent="0.3">
      <c r="A18" s="16" t="s">
        <v>47</v>
      </c>
      <c r="B18" s="3">
        <v>46160</v>
      </c>
      <c r="C18" s="2" t="s">
        <v>35</v>
      </c>
      <c r="D18" s="2" t="s">
        <v>24</v>
      </c>
      <c r="E18" s="2" t="s">
        <v>42</v>
      </c>
      <c r="F18" s="2" t="s">
        <v>17</v>
      </c>
      <c r="G18" s="2">
        <v>78</v>
      </c>
      <c r="H18" s="4">
        <v>50</v>
      </c>
      <c r="I18" s="4">
        <v>3900</v>
      </c>
      <c r="J18" s="2">
        <v>81</v>
      </c>
      <c r="K18" s="2">
        <v>4</v>
      </c>
      <c r="L18" s="2">
        <v>2</v>
      </c>
      <c r="M18" s="17" t="s">
        <v>22</v>
      </c>
    </row>
    <row r="19" spans="1:13" x14ac:dyDescent="0.3">
      <c r="A19" s="16" t="s">
        <v>48</v>
      </c>
      <c r="B19" s="3">
        <v>46081</v>
      </c>
      <c r="C19" s="2" t="s">
        <v>14</v>
      </c>
      <c r="D19" s="2" t="s">
        <v>19</v>
      </c>
      <c r="E19" s="2" t="s">
        <v>42</v>
      </c>
      <c r="F19" s="2" t="s">
        <v>25</v>
      </c>
      <c r="G19" s="2">
        <v>13</v>
      </c>
      <c r="H19" s="4">
        <v>50</v>
      </c>
      <c r="I19" s="4">
        <v>650</v>
      </c>
      <c r="J19" s="2">
        <v>71</v>
      </c>
      <c r="K19" s="2">
        <v>4</v>
      </c>
      <c r="L19" s="2">
        <v>5</v>
      </c>
      <c r="M19" s="17" t="s">
        <v>22</v>
      </c>
    </row>
    <row r="20" spans="1:13" x14ac:dyDescent="0.3">
      <c r="A20" s="16" t="s">
        <v>49</v>
      </c>
      <c r="B20" s="3">
        <v>46185</v>
      </c>
      <c r="C20" s="2" t="s">
        <v>27</v>
      </c>
      <c r="D20" s="2" t="s">
        <v>24</v>
      </c>
      <c r="E20" s="28" t="s">
        <v>652</v>
      </c>
      <c r="F20" s="2" t="s">
        <v>21</v>
      </c>
      <c r="G20" s="2">
        <v>66</v>
      </c>
      <c r="H20" s="4">
        <v>5</v>
      </c>
      <c r="I20" s="4">
        <v>330</v>
      </c>
      <c r="J20" s="2">
        <v>72</v>
      </c>
      <c r="K20" s="2">
        <v>3</v>
      </c>
      <c r="L20" s="2">
        <v>8</v>
      </c>
      <c r="M20" s="17" t="s">
        <v>22</v>
      </c>
    </row>
    <row r="21" spans="1:13" x14ac:dyDescent="0.3">
      <c r="A21" s="16" t="s">
        <v>50</v>
      </c>
      <c r="B21" s="3">
        <v>46161</v>
      </c>
      <c r="C21" s="2" t="s">
        <v>30</v>
      </c>
      <c r="D21" s="2" t="s">
        <v>15</v>
      </c>
      <c r="E21" s="2" t="s">
        <v>10</v>
      </c>
      <c r="F21" s="2" t="s">
        <v>17</v>
      </c>
      <c r="G21" s="2">
        <v>37</v>
      </c>
      <c r="H21" s="4">
        <v>100</v>
      </c>
      <c r="I21" s="4">
        <v>3700</v>
      </c>
      <c r="J21" s="2">
        <v>91</v>
      </c>
      <c r="K21" s="2">
        <v>4</v>
      </c>
      <c r="L21" s="2">
        <v>20</v>
      </c>
      <c r="M21" s="17" t="s">
        <v>22</v>
      </c>
    </row>
    <row r="22" spans="1:13" x14ac:dyDescent="0.3">
      <c r="A22" s="16" t="s">
        <v>51</v>
      </c>
      <c r="B22" s="3">
        <v>46064</v>
      </c>
      <c r="C22" s="2" t="s">
        <v>14</v>
      </c>
      <c r="D22" s="2" t="s">
        <v>28</v>
      </c>
      <c r="E22" s="2" t="s">
        <v>10</v>
      </c>
      <c r="F22" s="2" t="s">
        <v>21</v>
      </c>
      <c r="G22" s="2">
        <v>49</v>
      </c>
      <c r="H22" s="4">
        <v>10</v>
      </c>
      <c r="I22" s="4">
        <v>490</v>
      </c>
      <c r="J22" s="2">
        <v>71</v>
      </c>
      <c r="K22" s="2">
        <v>2</v>
      </c>
      <c r="L22" s="2">
        <v>17</v>
      </c>
      <c r="M22" s="17" t="s">
        <v>32</v>
      </c>
    </row>
    <row r="23" spans="1:13" x14ac:dyDescent="0.3">
      <c r="A23" s="16" t="s">
        <v>52</v>
      </c>
      <c r="B23" s="3">
        <v>46133</v>
      </c>
      <c r="C23" s="2" t="s">
        <v>35</v>
      </c>
      <c r="D23" s="2" t="s">
        <v>9</v>
      </c>
      <c r="E23" s="2" t="s">
        <v>16</v>
      </c>
      <c r="F23" s="2" t="s">
        <v>25</v>
      </c>
      <c r="G23" s="2">
        <v>19</v>
      </c>
      <c r="H23" s="4">
        <v>10</v>
      </c>
      <c r="I23" s="4">
        <v>190</v>
      </c>
      <c r="J23" s="2">
        <v>76</v>
      </c>
      <c r="K23" s="2">
        <v>4</v>
      </c>
      <c r="L23" s="2">
        <v>8</v>
      </c>
      <c r="M23" s="17" t="s">
        <v>22</v>
      </c>
    </row>
    <row r="24" spans="1:13" x14ac:dyDescent="0.3">
      <c r="A24" s="16" t="s">
        <v>53</v>
      </c>
      <c r="B24" s="3">
        <v>46188</v>
      </c>
      <c r="C24" s="2" t="s">
        <v>40</v>
      </c>
      <c r="D24" s="2" t="s">
        <v>9</v>
      </c>
      <c r="E24" s="2" t="s">
        <v>42</v>
      </c>
      <c r="F24" s="2" t="s">
        <v>17</v>
      </c>
      <c r="G24" s="2">
        <v>77</v>
      </c>
      <c r="H24" s="4">
        <v>50</v>
      </c>
      <c r="I24" s="4">
        <v>3850</v>
      </c>
      <c r="J24" s="2">
        <v>70</v>
      </c>
      <c r="K24" s="2">
        <v>3</v>
      </c>
      <c r="L24" s="2">
        <v>2</v>
      </c>
      <c r="M24" s="17" t="s">
        <v>22</v>
      </c>
    </row>
    <row r="25" spans="1:13" x14ac:dyDescent="0.3">
      <c r="A25" s="16" t="s">
        <v>54</v>
      </c>
      <c r="B25" s="3">
        <v>46023</v>
      </c>
      <c r="C25" s="2" t="s">
        <v>30</v>
      </c>
      <c r="D25" s="2" t="s">
        <v>9</v>
      </c>
      <c r="E25" s="2" t="s">
        <v>20</v>
      </c>
      <c r="F25" s="2" t="s">
        <v>31</v>
      </c>
      <c r="G25" s="2">
        <v>18</v>
      </c>
      <c r="H25" s="4">
        <v>20</v>
      </c>
      <c r="I25" s="4">
        <v>360</v>
      </c>
      <c r="J25" s="2">
        <v>97</v>
      </c>
      <c r="K25" s="2">
        <v>2</v>
      </c>
      <c r="L25" s="2">
        <v>8</v>
      </c>
      <c r="M25" s="17" t="s">
        <v>22</v>
      </c>
    </row>
    <row r="26" spans="1:13" x14ac:dyDescent="0.3">
      <c r="A26" s="16" t="s">
        <v>55</v>
      </c>
      <c r="B26" s="3">
        <v>46076</v>
      </c>
      <c r="C26" s="2" t="s">
        <v>8</v>
      </c>
      <c r="D26" s="2" t="s">
        <v>9</v>
      </c>
      <c r="E26" s="2" t="s">
        <v>24</v>
      </c>
      <c r="F26" s="2" t="s">
        <v>21</v>
      </c>
      <c r="G26" s="2">
        <v>29</v>
      </c>
      <c r="H26" s="4">
        <v>20</v>
      </c>
      <c r="I26" s="4">
        <v>580</v>
      </c>
      <c r="J26" s="2">
        <v>86</v>
      </c>
      <c r="K26" s="2">
        <v>5</v>
      </c>
      <c r="L26" s="2">
        <v>3</v>
      </c>
      <c r="M26" s="17" t="s">
        <v>22</v>
      </c>
    </row>
    <row r="27" spans="1:13" x14ac:dyDescent="0.3">
      <c r="A27" s="16" t="s">
        <v>56</v>
      </c>
      <c r="B27" s="3">
        <v>46023</v>
      </c>
      <c r="C27" s="2" t="s">
        <v>35</v>
      </c>
      <c r="D27" s="2" t="s">
        <v>28</v>
      </c>
      <c r="E27" s="2" t="s">
        <v>42</v>
      </c>
      <c r="F27" s="2" t="s">
        <v>25</v>
      </c>
      <c r="G27" s="2">
        <v>83</v>
      </c>
      <c r="H27" s="4">
        <v>50</v>
      </c>
      <c r="I27" s="4">
        <v>4150</v>
      </c>
      <c r="J27" s="2">
        <v>99</v>
      </c>
      <c r="K27" s="2">
        <v>3</v>
      </c>
      <c r="L27" s="2">
        <v>5</v>
      </c>
      <c r="M27" s="17" t="s">
        <v>22</v>
      </c>
    </row>
    <row r="28" spans="1:13" x14ac:dyDescent="0.3">
      <c r="A28" s="16" t="s">
        <v>57</v>
      </c>
      <c r="B28" s="3">
        <v>46102</v>
      </c>
      <c r="C28" s="2" t="s">
        <v>35</v>
      </c>
      <c r="D28" s="2" t="s">
        <v>9</v>
      </c>
      <c r="E28" s="2" t="s">
        <v>20</v>
      </c>
      <c r="F28" s="2" t="s">
        <v>25</v>
      </c>
      <c r="G28" s="2">
        <v>28</v>
      </c>
      <c r="H28" s="4">
        <v>100</v>
      </c>
      <c r="I28" s="4">
        <v>2800</v>
      </c>
      <c r="J28" s="2">
        <v>95</v>
      </c>
      <c r="K28" s="2">
        <v>4</v>
      </c>
      <c r="L28" s="2">
        <v>3</v>
      </c>
      <c r="M28" s="17" t="s">
        <v>22</v>
      </c>
    </row>
    <row r="29" spans="1:13" x14ac:dyDescent="0.3">
      <c r="A29" s="16" t="s">
        <v>58</v>
      </c>
      <c r="B29" s="3">
        <v>46042</v>
      </c>
      <c r="C29" s="2" t="s">
        <v>8</v>
      </c>
      <c r="D29" s="2" t="s">
        <v>15</v>
      </c>
      <c r="E29" s="2" t="s">
        <v>20</v>
      </c>
      <c r="F29" s="2" t="s">
        <v>17</v>
      </c>
      <c r="G29" s="2">
        <v>21</v>
      </c>
      <c r="H29" s="4">
        <v>250</v>
      </c>
      <c r="I29" s="4">
        <v>5250</v>
      </c>
      <c r="J29" s="2">
        <v>75</v>
      </c>
      <c r="K29" s="2">
        <v>3</v>
      </c>
      <c r="L29" s="2">
        <v>12</v>
      </c>
      <c r="M29" s="17" t="s">
        <v>32</v>
      </c>
    </row>
    <row r="30" spans="1:13" x14ac:dyDescent="0.3">
      <c r="A30" s="16" t="s">
        <v>59</v>
      </c>
      <c r="B30" s="3">
        <v>46085</v>
      </c>
      <c r="C30" s="2" t="s">
        <v>14</v>
      </c>
      <c r="D30" s="2" t="s">
        <v>28</v>
      </c>
      <c r="E30" s="2" t="s">
        <v>24</v>
      </c>
      <c r="F30" s="2" t="s">
        <v>11</v>
      </c>
      <c r="G30" s="2">
        <v>27</v>
      </c>
      <c r="H30" s="4">
        <v>250</v>
      </c>
      <c r="I30" s="4">
        <v>6750</v>
      </c>
      <c r="J30" s="2">
        <v>72</v>
      </c>
      <c r="K30" s="2">
        <v>5</v>
      </c>
      <c r="L30" s="2">
        <v>14</v>
      </c>
      <c r="M30" s="17" t="s">
        <v>32</v>
      </c>
    </row>
    <row r="31" spans="1:13" x14ac:dyDescent="0.3">
      <c r="A31" s="16" t="s">
        <v>60</v>
      </c>
      <c r="B31" s="3">
        <v>46165</v>
      </c>
      <c r="C31" s="2" t="s">
        <v>30</v>
      </c>
      <c r="D31" s="2" t="s">
        <v>24</v>
      </c>
      <c r="E31" s="2" t="s">
        <v>10</v>
      </c>
      <c r="F31" s="2" t="s">
        <v>31</v>
      </c>
      <c r="G31" s="2">
        <v>47</v>
      </c>
      <c r="H31" s="4">
        <v>10</v>
      </c>
      <c r="I31" s="4">
        <v>470</v>
      </c>
      <c r="J31" s="2">
        <v>95</v>
      </c>
      <c r="K31" s="2">
        <v>3</v>
      </c>
      <c r="L31" s="2">
        <v>15</v>
      </c>
      <c r="M31" s="17" t="s">
        <v>22</v>
      </c>
    </row>
    <row r="32" spans="1:13" x14ac:dyDescent="0.3">
      <c r="A32" s="16" t="s">
        <v>61</v>
      </c>
      <c r="B32" s="3">
        <v>46090</v>
      </c>
      <c r="C32" s="2" t="s">
        <v>30</v>
      </c>
      <c r="D32" s="2" t="s">
        <v>24</v>
      </c>
      <c r="E32" s="2" t="s">
        <v>42</v>
      </c>
      <c r="F32" s="2" t="s">
        <v>31</v>
      </c>
      <c r="G32" s="2">
        <v>71</v>
      </c>
      <c r="H32" s="4">
        <v>20</v>
      </c>
      <c r="I32" s="4">
        <v>1420</v>
      </c>
      <c r="J32" s="2">
        <v>83</v>
      </c>
      <c r="K32" s="2">
        <v>3</v>
      </c>
      <c r="L32" s="2">
        <v>18</v>
      </c>
      <c r="M32" s="17" t="s">
        <v>32</v>
      </c>
    </row>
    <row r="33" spans="1:13" x14ac:dyDescent="0.3">
      <c r="A33" s="16" t="s">
        <v>62</v>
      </c>
      <c r="B33" s="3">
        <v>46191</v>
      </c>
      <c r="C33" s="2" t="s">
        <v>8</v>
      </c>
      <c r="D33" s="2" t="s">
        <v>9</v>
      </c>
      <c r="E33" s="2" t="s">
        <v>24</v>
      </c>
      <c r="F33" s="2" t="s">
        <v>17</v>
      </c>
      <c r="G33" s="2">
        <v>63</v>
      </c>
      <c r="H33" s="4">
        <v>5</v>
      </c>
      <c r="I33" s="4">
        <v>315</v>
      </c>
      <c r="J33" s="2">
        <v>98</v>
      </c>
      <c r="K33" s="2">
        <v>3</v>
      </c>
      <c r="L33" s="2">
        <v>20</v>
      </c>
      <c r="M33" s="17" t="s">
        <v>22</v>
      </c>
    </row>
    <row r="34" spans="1:13" x14ac:dyDescent="0.3">
      <c r="A34" s="16" t="s">
        <v>63</v>
      </c>
      <c r="B34" s="3">
        <v>46175</v>
      </c>
      <c r="C34" s="2" t="s">
        <v>35</v>
      </c>
      <c r="D34" s="2" t="s">
        <v>19</v>
      </c>
      <c r="E34" s="2" t="s">
        <v>16</v>
      </c>
      <c r="F34" s="2" t="s">
        <v>21</v>
      </c>
      <c r="G34" s="2">
        <v>45</v>
      </c>
      <c r="H34" s="4">
        <v>10</v>
      </c>
      <c r="I34" s="4">
        <v>450</v>
      </c>
      <c r="J34" s="2">
        <v>73</v>
      </c>
      <c r="K34" s="2">
        <v>5</v>
      </c>
      <c r="L34" s="2">
        <v>19</v>
      </c>
      <c r="M34" s="17" t="s">
        <v>22</v>
      </c>
    </row>
    <row r="35" spans="1:13" x14ac:dyDescent="0.3">
      <c r="A35" s="16" t="s">
        <v>64</v>
      </c>
      <c r="B35" s="3">
        <v>46029</v>
      </c>
      <c r="C35" s="2" t="s">
        <v>14</v>
      </c>
      <c r="D35" s="2" t="s">
        <v>24</v>
      </c>
      <c r="E35" s="2" t="s">
        <v>42</v>
      </c>
      <c r="F35" s="2" t="s">
        <v>11</v>
      </c>
      <c r="G35" s="2">
        <v>47</v>
      </c>
      <c r="H35" s="4">
        <v>100</v>
      </c>
      <c r="I35" s="4">
        <v>4700</v>
      </c>
      <c r="J35" s="2">
        <v>86</v>
      </c>
      <c r="K35" s="2">
        <v>2</v>
      </c>
      <c r="L35" s="2">
        <v>14</v>
      </c>
      <c r="M35" s="17" t="s">
        <v>32</v>
      </c>
    </row>
    <row r="36" spans="1:13" x14ac:dyDescent="0.3">
      <c r="A36" s="16" t="s">
        <v>65</v>
      </c>
      <c r="B36" s="3">
        <v>46145</v>
      </c>
      <c r="C36" s="2" t="s">
        <v>8</v>
      </c>
      <c r="D36" s="2" t="s">
        <v>15</v>
      </c>
      <c r="E36" s="2" t="s">
        <v>10</v>
      </c>
      <c r="F36" s="2" t="s">
        <v>31</v>
      </c>
      <c r="G36" s="2">
        <v>53</v>
      </c>
      <c r="H36" s="4">
        <v>250</v>
      </c>
      <c r="I36" s="4">
        <v>13250</v>
      </c>
      <c r="J36" s="2">
        <v>77</v>
      </c>
      <c r="K36" s="2">
        <v>2</v>
      </c>
      <c r="L36" s="2">
        <v>16</v>
      </c>
      <c r="M36" s="17" t="s">
        <v>22</v>
      </c>
    </row>
    <row r="37" spans="1:13" x14ac:dyDescent="0.3">
      <c r="A37" s="16" t="s">
        <v>66</v>
      </c>
      <c r="B37" s="3">
        <v>46166</v>
      </c>
      <c r="C37" s="2" t="s">
        <v>8</v>
      </c>
      <c r="D37" s="2" t="s">
        <v>28</v>
      </c>
      <c r="E37" s="2" t="s">
        <v>10</v>
      </c>
      <c r="F37" s="2" t="s">
        <v>21</v>
      </c>
      <c r="G37" s="2">
        <v>70</v>
      </c>
      <c r="H37" s="4">
        <v>20</v>
      </c>
      <c r="I37" s="4">
        <v>1400</v>
      </c>
      <c r="J37" s="2">
        <v>88</v>
      </c>
      <c r="K37" s="2">
        <v>5</v>
      </c>
      <c r="L37" s="2">
        <v>4</v>
      </c>
      <c r="M37" s="17" t="s">
        <v>22</v>
      </c>
    </row>
    <row r="38" spans="1:13" x14ac:dyDescent="0.3">
      <c r="A38" s="16" t="s">
        <v>67</v>
      </c>
      <c r="B38" s="3">
        <v>46140</v>
      </c>
      <c r="C38" s="2" t="s">
        <v>40</v>
      </c>
      <c r="D38" s="2" t="s">
        <v>9</v>
      </c>
      <c r="E38" s="2" t="s">
        <v>20</v>
      </c>
      <c r="F38" s="2" t="s">
        <v>11</v>
      </c>
      <c r="G38" s="2">
        <v>55</v>
      </c>
      <c r="H38" s="4">
        <v>5</v>
      </c>
      <c r="I38" s="4">
        <v>275</v>
      </c>
      <c r="J38" s="2">
        <v>76</v>
      </c>
      <c r="K38" s="2">
        <v>3</v>
      </c>
      <c r="L38" s="2">
        <v>17</v>
      </c>
      <c r="M38" s="17" t="s">
        <v>22</v>
      </c>
    </row>
    <row r="39" spans="1:13" x14ac:dyDescent="0.3">
      <c r="A39" s="16" t="s">
        <v>68</v>
      </c>
      <c r="B39" s="3">
        <v>46095</v>
      </c>
      <c r="C39" s="2" t="s">
        <v>14</v>
      </c>
      <c r="D39" s="2" t="s">
        <v>19</v>
      </c>
      <c r="E39" s="2" t="s">
        <v>24</v>
      </c>
      <c r="F39" s="2" t="s">
        <v>11</v>
      </c>
      <c r="G39" s="2">
        <v>86</v>
      </c>
      <c r="H39" s="4">
        <v>20</v>
      </c>
      <c r="I39" s="4">
        <v>1720</v>
      </c>
      <c r="J39" s="2">
        <v>74</v>
      </c>
      <c r="K39" s="2">
        <v>2</v>
      </c>
      <c r="L39" s="2">
        <v>10</v>
      </c>
      <c r="M39" s="17" t="s">
        <v>22</v>
      </c>
    </row>
    <row r="40" spans="1:13" x14ac:dyDescent="0.3">
      <c r="A40" s="16" t="s">
        <v>69</v>
      </c>
      <c r="B40" s="3">
        <v>46104</v>
      </c>
      <c r="C40" s="2" t="s">
        <v>14</v>
      </c>
      <c r="D40" s="2" t="s">
        <v>19</v>
      </c>
      <c r="E40" s="2" t="s">
        <v>20</v>
      </c>
      <c r="F40" s="2" t="s">
        <v>21</v>
      </c>
      <c r="G40" s="2">
        <v>36</v>
      </c>
      <c r="H40" s="4">
        <v>50</v>
      </c>
      <c r="I40" s="4">
        <v>1800</v>
      </c>
      <c r="J40" s="2">
        <v>91</v>
      </c>
      <c r="K40" s="2">
        <v>5</v>
      </c>
      <c r="L40" s="2">
        <v>17</v>
      </c>
      <c r="M40" s="17" t="s">
        <v>32</v>
      </c>
    </row>
    <row r="41" spans="1:13" x14ac:dyDescent="0.3">
      <c r="A41" s="16" t="s">
        <v>70</v>
      </c>
      <c r="B41" s="3">
        <v>46148</v>
      </c>
      <c r="C41" s="2" t="s">
        <v>30</v>
      </c>
      <c r="D41" s="2" t="s">
        <v>19</v>
      </c>
      <c r="E41" s="2" t="s">
        <v>10</v>
      </c>
      <c r="F41" s="2" t="s">
        <v>21</v>
      </c>
      <c r="G41" s="2">
        <v>3</v>
      </c>
      <c r="H41" s="4">
        <v>5</v>
      </c>
      <c r="I41" s="4">
        <v>15</v>
      </c>
      <c r="J41" s="2">
        <v>80</v>
      </c>
      <c r="K41" s="2">
        <v>3</v>
      </c>
      <c r="L41" s="2">
        <v>19</v>
      </c>
      <c r="M41" s="17" t="s">
        <v>22</v>
      </c>
    </row>
    <row r="42" spans="1:13" x14ac:dyDescent="0.3">
      <c r="A42" s="16" t="s">
        <v>71</v>
      </c>
      <c r="B42" s="3">
        <v>46136</v>
      </c>
      <c r="C42" s="2" t="s">
        <v>30</v>
      </c>
      <c r="D42" s="2" t="s">
        <v>24</v>
      </c>
      <c r="E42" s="2" t="s">
        <v>42</v>
      </c>
      <c r="F42" s="2" t="s">
        <v>11</v>
      </c>
      <c r="G42" s="2">
        <v>84</v>
      </c>
      <c r="H42" s="4">
        <v>100</v>
      </c>
      <c r="I42" s="4">
        <v>8400</v>
      </c>
      <c r="J42" s="2">
        <v>98</v>
      </c>
      <c r="K42" s="2">
        <v>2</v>
      </c>
      <c r="L42" s="2">
        <v>17</v>
      </c>
      <c r="M42" s="17" t="s">
        <v>12</v>
      </c>
    </row>
    <row r="43" spans="1:13" x14ac:dyDescent="0.3">
      <c r="A43" s="16" t="s">
        <v>72</v>
      </c>
      <c r="B43" s="3">
        <v>46151</v>
      </c>
      <c r="C43" s="2" t="s">
        <v>27</v>
      </c>
      <c r="D43" s="2" t="s">
        <v>15</v>
      </c>
      <c r="E43" s="2" t="s">
        <v>20</v>
      </c>
      <c r="F43" s="2" t="s">
        <v>31</v>
      </c>
      <c r="G43" s="2">
        <v>65</v>
      </c>
      <c r="H43" s="4">
        <v>100</v>
      </c>
      <c r="I43" s="4">
        <v>6500</v>
      </c>
      <c r="J43" s="2">
        <v>73</v>
      </c>
      <c r="K43" s="2">
        <v>3</v>
      </c>
      <c r="L43" s="2">
        <v>16</v>
      </c>
      <c r="M43" s="17" t="s">
        <v>22</v>
      </c>
    </row>
    <row r="44" spans="1:13" x14ac:dyDescent="0.3">
      <c r="A44" s="16" t="s">
        <v>73</v>
      </c>
      <c r="B44" s="3">
        <v>46175</v>
      </c>
      <c r="C44" s="2" t="s">
        <v>40</v>
      </c>
      <c r="D44" s="2" t="s">
        <v>9</v>
      </c>
      <c r="E44" s="2" t="s">
        <v>10</v>
      </c>
      <c r="F44" s="2" t="s">
        <v>11</v>
      </c>
      <c r="G44" s="2">
        <v>71</v>
      </c>
      <c r="H44" s="4">
        <v>250</v>
      </c>
      <c r="I44" s="4">
        <v>17750</v>
      </c>
      <c r="J44" s="2">
        <v>96</v>
      </c>
      <c r="K44" s="2">
        <v>5</v>
      </c>
      <c r="L44" s="2">
        <v>2</v>
      </c>
      <c r="M44" s="17" t="s">
        <v>22</v>
      </c>
    </row>
    <row r="45" spans="1:13" x14ac:dyDescent="0.3">
      <c r="A45" s="16" t="s">
        <v>74</v>
      </c>
      <c r="B45" s="3">
        <v>46129</v>
      </c>
      <c r="C45" s="2" t="s">
        <v>14</v>
      </c>
      <c r="D45" s="2" t="s">
        <v>15</v>
      </c>
      <c r="E45" s="2" t="s">
        <v>10</v>
      </c>
      <c r="F45" s="2" t="s">
        <v>31</v>
      </c>
      <c r="G45" s="2">
        <v>8</v>
      </c>
      <c r="H45" s="4">
        <v>50</v>
      </c>
      <c r="I45" s="4">
        <v>400</v>
      </c>
      <c r="J45" s="2">
        <v>70</v>
      </c>
      <c r="K45" s="2">
        <v>4</v>
      </c>
      <c r="L45" s="2">
        <v>3</v>
      </c>
      <c r="M45" s="17" t="s">
        <v>22</v>
      </c>
    </row>
    <row r="46" spans="1:13" x14ac:dyDescent="0.3">
      <c r="A46" s="16" t="s">
        <v>75</v>
      </c>
      <c r="B46" s="3">
        <v>46097</v>
      </c>
      <c r="C46" s="2" t="s">
        <v>27</v>
      </c>
      <c r="D46" s="2" t="s">
        <v>15</v>
      </c>
      <c r="E46" s="2" t="s">
        <v>24</v>
      </c>
      <c r="F46" s="2" t="s">
        <v>21</v>
      </c>
      <c r="G46" s="2">
        <v>40</v>
      </c>
      <c r="H46" s="4">
        <v>5</v>
      </c>
      <c r="I46" s="4">
        <v>200</v>
      </c>
      <c r="J46" s="2">
        <v>91</v>
      </c>
      <c r="K46" s="2">
        <v>2</v>
      </c>
      <c r="L46" s="2">
        <v>13</v>
      </c>
      <c r="M46" s="17" t="s">
        <v>32</v>
      </c>
    </row>
    <row r="47" spans="1:13" x14ac:dyDescent="0.3">
      <c r="A47" s="16" t="s">
        <v>76</v>
      </c>
      <c r="B47" s="3">
        <v>46085</v>
      </c>
      <c r="C47" s="2" t="s">
        <v>35</v>
      </c>
      <c r="D47" s="2" t="s">
        <v>15</v>
      </c>
      <c r="E47" s="2" t="s">
        <v>24</v>
      </c>
      <c r="F47" s="2" t="s">
        <v>31</v>
      </c>
      <c r="G47" s="2">
        <v>43</v>
      </c>
      <c r="H47" s="4">
        <v>10</v>
      </c>
      <c r="I47" s="4">
        <v>430</v>
      </c>
      <c r="J47" s="2">
        <v>81</v>
      </c>
      <c r="K47" s="2">
        <v>4</v>
      </c>
      <c r="L47" s="2">
        <v>8</v>
      </c>
      <c r="M47" s="17" t="s">
        <v>22</v>
      </c>
    </row>
    <row r="48" spans="1:13" x14ac:dyDescent="0.3">
      <c r="A48" s="16" t="s">
        <v>77</v>
      </c>
      <c r="B48" s="3">
        <v>46040</v>
      </c>
      <c r="C48" s="2" t="s">
        <v>30</v>
      </c>
      <c r="D48" s="2" t="s">
        <v>24</v>
      </c>
      <c r="E48" s="2" t="s">
        <v>16</v>
      </c>
      <c r="F48" s="2" t="s">
        <v>31</v>
      </c>
      <c r="G48" s="2">
        <v>89</v>
      </c>
      <c r="H48" s="4">
        <v>100</v>
      </c>
      <c r="I48" s="4">
        <v>8900</v>
      </c>
      <c r="J48" s="2">
        <v>76</v>
      </c>
      <c r="K48" s="2">
        <v>3</v>
      </c>
      <c r="L48" s="2">
        <v>10</v>
      </c>
      <c r="M48" s="17" t="s">
        <v>22</v>
      </c>
    </row>
    <row r="49" spans="1:13" x14ac:dyDescent="0.3">
      <c r="A49" s="16" t="s">
        <v>78</v>
      </c>
      <c r="B49" s="3">
        <v>46188</v>
      </c>
      <c r="C49" s="2" t="s">
        <v>35</v>
      </c>
      <c r="D49" s="2" t="s">
        <v>28</v>
      </c>
      <c r="E49" s="2" t="s">
        <v>20</v>
      </c>
      <c r="F49" s="2" t="s">
        <v>17</v>
      </c>
      <c r="G49" s="2">
        <v>74</v>
      </c>
      <c r="H49" s="4">
        <v>20</v>
      </c>
      <c r="I49" s="4">
        <v>1480</v>
      </c>
      <c r="J49" s="2">
        <v>82</v>
      </c>
      <c r="K49" s="2">
        <v>3</v>
      </c>
      <c r="L49" s="2">
        <v>9</v>
      </c>
      <c r="M49" s="17" t="s">
        <v>22</v>
      </c>
    </row>
    <row r="50" spans="1:13" x14ac:dyDescent="0.3">
      <c r="A50" s="16" t="s">
        <v>79</v>
      </c>
      <c r="B50" s="3">
        <v>46050</v>
      </c>
      <c r="C50" s="2" t="s">
        <v>8</v>
      </c>
      <c r="D50" s="2" t="s">
        <v>24</v>
      </c>
      <c r="E50" s="2" t="s">
        <v>42</v>
      </c>
      <c r="F50" s="2" t="s">
        <v>21</v>
      </c>
      <c r="G50" s="2">
        <v>82</v>
      </c>
      <c r="H50" s="4">
        <v>50</v>
      </c>
      <c r="I50" s="4">
        <v>4100</v>
      </c>
      <c r="J50" s="2">
        <v>74</v>
      </c>
      <c r="K50" s="2">
        <v>4</v>
      </c>
      <c r="L50" s="2">
        <v>14</v>
      </c>
      <c r="M50" s="17" t="s">
        <v>22</v>
      </c>
    </row>
    <row r="51" spans="1:13" x14ac:dyDescent="0.3">
      <c r="A51" s="16" t="s">
        <v>80</v>
      </c>
      <c r="B51" s="3">
        <v>46093</v>
      </c>
      <c r="C51" s="2" t="s">
        <v>8</v>
      </c>
      <c r="D51" s="2" t="s">
        <v>9</v>
      </c>
      <c r="E51" s="2" t="s">
        <v>24</v>
      </c>
      <c r="F51" s="2" t="s">
        <v>25</v>
      </c>
      <c r="G51" s="2">
        <v>25</v>
      </c>
      <c r="H51" s="4">
        <v>100</v>
      </c>
      <c r="I51" s="4">
        <v>2500</v>
      </c>
      <c r="J51" s="2">
        <v>77</v>
      </c>
      <c r="K51" s="2">
        <v>5</v>
      </c>
      <c r="L51" s="2">
        <v>20</v>
      </c>
      <c r="M51" s="17" t="s">
        <v>22</v>
      </c>
    </row>
    <row r="52" spans="1:13" x14ac:dyDescent="0.3">
      <c r="A52" s="16" t="s">
        <v>81</v>
      </c>
      <c r="B52" s="3">
        <v>46167</v>
      </c>
      <c r="C52" s="2" t="s">
        <v>8</v>
      </c>
      <c r="D52" s="2" t="s">
        <v>28</v>
      </c>
      <c r="E52" s="2" t="s">
        <v>10</v>
      </c>
      <c r="F52" s="2" t="s">
        <v>21</v>
      </c>
      <c r="G52" s="2">
        <v>73</v>
      </c>
      <c r="H52" s="4">
        <v>20</v>
      </c>
      <c r="I52" s="4">
        <v>1460</v>
      </c>
      <c r="J52" s="2">
        <v>96</v>
      </c>
      <c r="K52" s="2">
        <v>2</v>
      </c>
      <c r="L52" s="2">
        <v>18</v>
      </c>
      <c r="M52" s="17" t="s">
        <v>22</v>
      </c>
    </row>
    <row r="53" spans="1:13" x14ac:dyDescent="0.3">
      <c r="A53" s="16" t="s">
        <v>82</v>
      </c>
      <c r="B53" s="3">
        <v>46069</v>
      </c>
      <c r="C53" s="2" t="s">
        <v>40</v>
      </c>
      <c r="D53" s="2" t="s">
        <v>24</v>
      </c>
      <c r="E53" s="2" t="s">
        <v>20</v>
      </c>
      <c r="F53" s="2" t="s">
        <v>21</v>
      </c>
      <c r="G53" s="2">
        <v>90</v>
      </c>
      <c r="H53" s="4">
        <v>250</v>
      </c>
      <c r="I53" s="4">
        <v>22500</v>
      </c>
      <c r="J53" s="2">
        <v>86</v>
      </c>
      <c r="K53" s="2">
        <v>5</v>
      </c>
      <c r="L53" s="2">
        <v>20</v>
      </c>
      <c r="M53" s="17" t="s">
        <v>22</v>
      </c>
    </row>
    <row r="54" spans="1:13" x14ac:dyDescent="0.3">
      <c r="A54" s="16" t="s">
        <v>83</v>
      </c>
      <c r="B54" s="3">
        <v>46201</v>
      </c>
      <c r="C54" s="2" t="s">
        <v>30</v>
      </c>
      <c r="D54" s="2" t="s">
        <v>19</v>
      </c>
      <c r="E54" s="2" t="s">
        <v>20</v>
      </c>
      <c r="F54" s="2" t="s">
        <v>21</v>
      </c>
      <c r="G54" s="2">
        <v>28</v>
      </c>
      <c r="H54" s="4">
        <v>20</v>
      </c>
      <c r="I54" s="4">
        <v>560</v>
      </c>
      <c r="J54" s="2">
        <v>98</v>
      </c>
      <c r="K54" s="2">
        <v>4</v>
      </c>
      <c r="L54" s="2">
        <v>20</v>
      </c>
      <c r="M54" s="17" t="s">
        <v>22</v>
      </c>
    </row>
    <row r="55" spans="1:13" x14ac:dyDescent="0.3">
      <c r="A55" s="16" t="s">
        <v>84</v>
      </c>
      <c r="B55" s="3">
        <v>46079</v>
      </c>
      <c r="C55" s="2" t="s">
        <v>40</v>
      </c>
      <c r="D55" s="2" t="s">
        <v>15</v>
      </c>
      <c r="E55" s="2" t="s">
        <v>10</v>
      </c>
      <c r="F55" s="2" t="s">
        <v>31</v>
      </c>
      <c r="G55" s="2">
        <v>41</v>
      </c>
      <c r="H55" s="4">
        <v>5</v>
      </c>
      <c r="I55" s="4">
        <v>205</v>
      </c>
      <c r="J55" s="2">
        <v>81</v>
      </c>
      <c r="K55" s="2">
        <v>4</v>
      </c>
      <c r="L55" s="2">
        <v>9</v>
      </c>
      <c r="M55" s="17" t="s">
        <v>22</v>
      </c>
    </row>
    <row r="56" spans="1:13" x14ac:dyDescent="0.3">
      <c r="A56" s="16" t="s">
        <v>85</v>
      </c>
      <c r="B56" s="3">
        <v>46057</v>
      </c>
      <c r="C56" s="2" t="s">
        <v>27</v>
      </c>
      <c r="D56" s="2" t="s">
        <v>15</v>
      </c>
      <c r="E56" s="2" t="s">
        <v>24</v>
      </c>
      <c r="F56" s="2" t="s">
        <v>17</v>
      </c>
      <c r="G56" s="2">
        <v>31</v>
      </c>
      <c r="H56" s="4">
        <v>10</v>
      </c>
      <c r="I56" s="4">
        <v>310</v>
      </c>
      <c r="J56" s="2">
        <v>92</v>
      </c>
      <c r="K56" s="2">
        <v>3</v>
      </c>
      <c r="L56" s="2">
        <v>13</v>
      </c>
      <c r="M56" s="17" t="s">
        <v>22</v>
      </c>
    </row>
    <row r="57" spans="1:13" x14ac:dyDescent="0.3">
      <c r="A57" s="16" t="s">
        <v>86</v>
      </c>
      <c r="B57" s="3">
        <v>46058</v>
      </c>
      <c r="C57" s="2" t="s">
        <v>30</v>
      </c>
      <c r="D57" s="2" t="s">
        <v>24</v>
      </c>
      <c r="E57" s="2" t="s">
        <v>20</v>
      </c>
      <c r="F57" s="2" t="s">
        <v>25</v>
      </c>
      <c r="G57" s="2">
        <v>5</v>
      </c>
      <c r="H57" s="4">
        <v>50</v>
      </c>
      <c r="I57" s="4">
        <v>250</v>
      </c>
      <c r="J57" s="2">
        <v>70</v>
      </c>
      <c r="K57" s="2">
        <v>3</v>
      </c>
      <c r="L57" s="2">
        <v>6</v>
      </c>
      <c r="M57" s="17" t="s">
        <v>22</v>
      </c>
    </row>
    <row r="58" spans="1:13" x14ac:dyDescent="0.3">
      <c r="A58" s="16" t="s">
        <v>87</v>
      </c>
      <c r="B58" s="3">
        <v>46168</v>
      </c>
      <c r="C58" s="2" t="s">
        <v>30</v>
      </c>
      <c r="D58" s="2" t="s">
        <v>19</v>
      </c>
      <c r="E58" s="2" t="s">
        <v>24</v>
      </c>
      <c r="F58" s="2" t="s">
        <v>11</v>
      </c>
      <c r="G58" s="2">
        <v>100</v>
      </c>
      <c r="H58" s="4">
        <v>5</v>
      </c>
      <c r="I58" s="4">
        <v>500</v>
      </c>
      <c r="J58" s="2">
        <v>74</v>
      </c>
      <c r="K58" s="2">
        <v>4</v>
      </c>
      <c r="L58" s="2">
        <v>10</v>
      </c>
      <c r="M58" s="17" t="s">
        <v>22</v>
      </c>
    </row>
    <row r="59" spans="1:13" x14ac:dyDescent="0.3">
      <c r="A59" s="16" t="s">
        <v>88</v>
      </c>
      <c r="B59" s="3">
        <v>46122</v>
      </c>
      <c r="C59" s="2" t="s">
        <v>14</v>
      </c>
      <c r="D59" s="2" t="s">
        <v>15</v>
      </c>
      <c r="E59" s="2" t="s">
        <v>16</v>
      </c>
      <c r="F59" s="2" t="s">
        <v>21</v>
      </c>
      <c r="G59" s="2">
        <v>8</v>
      </c>
      <c r="H59" s="4">
        <v>20</v>
      </c>
      <c r="I59" s="4">
        <v>160</v>
      </c>
      <c r="J59" s="2">
        <v>74</v>
      </c>
      <c r="K59" s="2">
        <v>4</v>
      </c>
      <c r="L59" s="2">
        <v>19</v>
      </c>
      <c r="M59" s="17" t="s">
        <v>32</v>
      </c>
    </row>
    <row r="60" spans="1:13" x14ac:dyDescent="0.3">
      <c r="A60" s="16" t="s">
        <v>89</v>
      </c>
      <c r="B60" s="3">
        <v>46166</v>
      </c>
      <c r="C60" s="2" t="s">
        <v>8</v>
      </c>
      <c r="D60" s="2" t="s">
        <v>19</v>
      </c>
      <c r="E60" s="2" t="s">
        <v>42</v>
      </c>
      <c r="F60" s="2" t="s">
        <v>21</v>
      </c>
      <c r="G60" s="2">
        <v>97</v>
      </c>
      <c r="H60" s="4">
        <v>100</v>
      </c>
      <c r="I60" s="4">
        <v>9700</v>
      </c>
      <c r="J60" s="2">
        <v>73</v>
      </c>
      <c r="K60" s="2">
        <v>4</v>
      </c>
      <c r="L60" s="2">
        <v>4</v>
      </c>
      <c r="M60" s="17" t="s">
        <v>22</v>
      </c>
    </row>
    <row r="61" spans="1:13" x14ac:dyDescent="0.3">
      <c r="A61" s="16" t="s">
        <v>90</v>
      </c>
      <c r="B61" s="3">
        <v>46095</v>
      </c>
      <c r="C61" s="2" t="s">
        <v>8</v>
      </c>
      <c r="D61" s="2" t="s">
        <v>9</v>
      </c>
      <c r="E61" s="2" t="s">
        <v>16</v>
      </c>
      <c r="F61" s="2" t="s">
        <v>31</v>
      </c>
      <c r="G61" s="2">
        <v>25</v>
      </c>
      <c r="H61" s="4">
        <v>50</v>
      </c>
      <c r="I61" s="4">
        <v>1250</v>
      </c>
      <c r="J61" s="2">
        <v>74</v>
      </c>
      <c r="K61" s="2">
        <v>5</v>
      </c>
      <c r="L61" s="2">
        <v>7</v>
      </c>
      <c r="M61" s="17" t="s">
        <v>22</v>
      </c>
    </row>
    <row r="62" spans="1:13" x14ac:dyDescent="0.3">
      <c r="A62" s="16" t="s">
        <v>91</v>
      </c>
      <c r="B62" s="3">
        <v>46057</v>
      </c>
      <c r="C62" s="2" t="s">
        <v>40</v>
      </c>
      <c r="D62" s="2" t="s">
        <v>24</v>
      </c>
      <c r="E62" s="2" t="s">
        <v>20</v>
      </c>
      <c r="F62" s="2" t="s">
        <v>21</v>
      </c>
      <c r="G62" s="2">
        <v>75</v>
      </c>
      <c r="H62" s="4">
        <v>20</v>
      </c>
      <c r="I62" s="4">
        <v>1500</v>
      </c>
      <c r="J62" s="2">
        <v>94</v>
      </c>
      <c r="K62" s="2">
        <v>3</v>
      </c>
      <c r="L62" s="2">
        <v>12</v>
      </c>
      <c r="M62" s="17" t="s">
        <v>22</v>
      </c>
    </row>
    <row r="63" spans="1:13" x14ac:dyDescent="0.3">
      <c r="A63" s="16" t="s">
        <v>92</v>
      </c>
      <c r="B63" s="3">
        <v>46088</v>
      </c>
      <c r="C63" s="2" t="s">
        <v>35</v>
      </c>
      <c r="D63" s="2" t="s">
        <v>28</v>
      </c>
      <c r="E63" s="2" t="s">
        <v>10</v>
      </c>
      <c r="F63" s="2" t="s">
        <v>21</v>
      </c>
      <c r="G63" s="2">
        <v>56</v>
      </c>
      <c r="H63" s="4">
        <v>5</v>
      </c>
      <c r="I63" s="4">
        <v>280</v>
      </c>
      <c r="J63" s="2">
        <v>74</v>
      </c>
      <c r="K63" s="2">
        <v>5</v>
      </c>
      <c r="L63" s="2">
        <v>13</v>
      </c>
      <c r="M63" s="17" t="s">
        <v>22</v>
      </c>
    </row>
    <row r="64" spans="1:13" x14ac:dyDescent="0.3">
      <c r="A64" s="16" t="s">
        <v>93</v>
      </c>
      <c r="B64" s="3">
        <v>46069</v>
      </c>
      <c r="C64" s="2" t="s">
        <v>40</v>
      </c>
      <c r="D64" s="2" t="s">
        <v>15</v>
      </c>
      <c r="E64" s="2" t="s">
        <v>10</v>
      </c>
      <c r="F64" s="2" t="s">
        <v>11</v>
      </c>
      <c r="G64" s="2">
        <v>10</v>
      </c>
      <c r="H64" s="4">
        <v>50</v>
      </c>
      <c r="I64" s="4">
        <v>500</v>
      </c>
      <c r="J64" s="2">
        <v>86</v>
      </c>
      <c r="K64" s="2">
        <v>5</v>
      </c>
      <c r="L64" s="2">
        <v>7</v>
      </c>
      <c r="M64" s="17" t="s">
        <v>12</v>
      </c>
    </row>
    <row r="65" spans="1:13" x14ac:dyDescent="0.3">
      <c r="A65" s="16" t="s">
        <v>94</v>
      </c>
      <c r="B65" s="3">
        <v>46108</v>
      </c>
      <c r="C65" s="2" t="s">
        <v>27</v>
      </c>
      <c r="D65" s="2" t="s">
        <v>24</v>
      </c>
      <c r="E65" s="2" t="s">
        <v>24</v>
      </c>
      <c r="F65" s="2" t="s">
        <v>31</v>
      </c>
      <c r="G65" s="2">
        <v>100</v>
      </c>
      <c r="H65" s="4">
        <v>50</v>
      </c>
      <c r="I65" s="4">
        <v>5000</v>
      </c>
      <c r="J65" s="2">
        <v>80</v>
      </c>
      <c r="K65" s="2">
        <v>4</v>
      </c>
      <c r="L65" s="2">
        <v>5</v>
      </c>
      <c r="M65" s="17" t="s">
        <v>32</v>
      </c>
    </row>
    <row r="66" spans="1:13" x14ac:dyDescent="0.3">
      <c r="A66" s="16" t="s">
        <v>95</v>
      </c>
      <c r="B66" s="3">
        <v>46189</v>
      </c>
      <c r="C66" s="2" t="s">
        <v>8</v>
      </c>
      <c r="D66" s="2" t="s">
        <v>19</v>
      </c>
      <c r="E66" s="2" t="s">
        <v>16</v>
      </c>
      <c r="F66" s="2" t="s">
        <v>11</v>
      </c>
      <c r="G66" s="2">
        <v>93</v>
      </c>
      <c r="H66" s="4">
        <v>20</v>
      </c>
      <c r="I66" s="4">
        <v>1860</v>
      </c>
      <c r="J66" s="2">
        <v>85</v>
      </c>
      <c r="K66" s="2">
        <v>2</v>
      </c>
      <c r="L66" s="2">
        <v>5</v>
      </c>
      <c r="M66" s="17" t="s">
        <v>22</v>
      </c>
    </row>
    <row r="67" spans="1:13" x14ac:dyDescent="0.3">
      <c r="A67" s="16" t="s">
        <v>96</v>
      </c>
      <c r="B67" s="3">
        <v>46137</v>
      </c>
      <c r="C67" s="2" t="s">
        <v>14</v>
      </c>
      <c r="D67" s="2" t="s">
        <v>28</v>
      </c>
      <c r="E67" s="2" t="s">
        <v>42</v>
      </c>
      <c r="F67" s="2" t="s">
        <v>31</v>
      </c>
      <c r="G67" s="2">
        <v>96</v>
      </c>
      <c r="H67" s="4">
        <v>250</v>
      </c>
      <c r="I67" s="4">
        <v>24000</v>
      </c>
      <c r="J67" s="2">
        <v>100</v>
      </c>
      <c r="K67" s="2">
        <v>2</v>
      </c>
      <c r="L67" s="2">
        <v>16</v>
      </c>
      <c r="M67" s="17" t="s">
        <v>32</v>
      </c>
    </row>
    <row r="68" spans="1:13" x14ac:dyDescent="0.3">
      <c r="A68" s="16" t="s">
        <v>97</v>
      </c>
      <c r="B68" s="3">
        <v>46136</v>
      </c>
      <c r="C68" s="2" t="s">
        <v>27</v>
      </c>
      <c r="D68" s="2" t="s">
        <v>9</v>
      </c>
      <c r="E68" s="2" t="s">
        <v>10</v>
      </c>
      <c r="F68" s="2" t="s">
        <v>17</v>
      </c>
      <c r="G68" s="2">
        <v>48</v>
      </c>
      <c r="H68" s="4">
        <v>20</v>
      </c>
      <c r="I68" s="4">
        <v>960</v>
      </c>
      <c r="J68" s="2">
        <v>74</v>
      </c>
      <c r="K68" s="2">
        <v>4</v>
      </c>
      <c r="L68" s="2">
        <v>5</v>
      </c>
      <c r="M68" s="17" t="s">
        <v>22</v>
      </c>
    </row>
    <row r="69" spans="1:13" x14ac:dyDescent="0.3">
      <c r="A69" s="16" t="s">
        <v>98</v>
      </c>
      <c r="B69" s="3">
        <v>46031</v>
      </c>
      <c r="C69" s="2" t="s">
        <v>8</v>
      </c>
      <c r="D69" s="2" t="s">
        <v>19</v>
      </c>
      <c r="E69" s="2" t="s">
        <v>10</v>
      </c>
      <c r="F69" s="2" t="s">
        <v>21</v>
      </c>
      <c r="G69" s="2">
        <v>48</v>
      </c>
      <c r="H69" s="4">
        <v>100</v>
      </c>
      <c r="I69" s="4">
        <v>4800</v>
      </c>
      <c r="J69" s="2">
        <v>78</v>
      </c>
      <c r="K69" s="2">
        <v>5</v>
      </c>
      <c r="L69" s="2">
        <v>14</v>
      </c>
      <c r="M69" s="17" t="s">
        <v>22</v>
      </c>
    </row>
    <row r="70" spans="1:13" x14ac:dyDescent="0.3">
      <c r="A70" s="16" t="s">
        <v>99</v>
      </c>
      <c r="B70" s="3">
        <v>46115</v>
      </c>
      <c r="C70" s="2" t="s">
        <v>30</v>
      </c>
      <c r="D70" s="2" t="s">
        <v>9</v>
      </c>
      <c r="E70" s="2" t="s">
        <v>20</v>
      </c>
      <c r="F70" s="2" t="s">
        <v>21</v>
      </c>
      <c r="G70" s="2">
        <v>7</v>
      </c>
      <c r="H70" s="4">
        <v>5</v>
      </c>
      <c r="I70" s="4">
        <v>35</v>
      </c>
      <c r="J70" s="2">
        <v>81</v>
      </c>
      <c r="K70" s="2">
        <v>3</v>
      </c>
      <c r="L70" s="2">
        <v>7</v>
      </c>
      <c r="M70" s="17" t="s">
        <v>22</v>
      </c>
    </row>
    <row r="71" spans="1:13" x14ac:dyDescent="0.3">
      <c r="A71" s="16" t="s">
        <v>100</v>
      </c>
      <c r="B71" s="3">
        <v>46103</v>
      </c>
      <c r="C71" s="2" t="s">
        <v>30</v>
      </c>
      <c r="D71" s="2" t="s">
        <v>15</v>
      </c>
      <c r="E71" s="2" t="s">
        <v>24</v>
      </c>
      <c r="F71" s="2" t="s">
        <v>17</v>
      </c>
      <c r="G71" s="2">
        <v>65</v>
      </c>
      <c r="H71" s="4">
        <v>20</v>
      </c>
      <c r="I71" s="4">
        <v>1300</v>
      </c>
      <c r="J71" s="2">
        <v>70</v>
      </c>
      <c r="K71" s="2">
        <v>3</v>
      </c>
      <c r="L71" s="2">
        <v>7</v>
      </c>
      <c r="M71" s="17" t="s">
        <v>22</v>
      </c>
    </row>
    <row r="72" spans="1:13" x14ac:dyDescent="0.3">
      <c r="A72" s="16" t="s">
        <v>101</v>
      </c>
      <c r="B72" s="3">
        <v>46037</v>
      </c>
      <c r="C72" s="2" t="s">
        <v>40</v>
      </c>
      <c r="D72" s="2" t="s">
        <v>9</v>
      </c>
      <c r="E72" s="2" t="s">
        <v>16</v>
      </c>
      <c r="F72" s="2" t="s">
        <v>25</v>
      </c>
      <c r="G72" s="2">
        <v>54</v>
      </c>
      <c r="H72" s="4">
        <v>250</v>
      </c>
      <c r="I72" s="4">
        <v>13500</v>
      </c>
      <c r="J72" s="2">
        <v>91</v>
      </c>
      <c r="K72" s="2">
        <v>4</v>
      </c>
      <c r="L72" s="2">
        <v>5</v>
      </c>
      <c r="M72" s="17" t="s">
        <v>22</v>
      </c>
    </row>
    <row r="73" spans="1:13" x14ac:dyDescent="0.3">
      <c r="A73" s="16" t="s">
        <v>102</v>
      </c>
      <c r="B73" s="3">
        <v>46143</v>
      </c>
      <c r="C73" s="2" t="s">
        <v>14</v>
      </c>
      <c r="D73" s="2" t="s">
        <v>28</v>
      </c>
      <c r="E73" s="2" t="s">
        <v>20</v>
      </c>
      <c r="F73" s="2" t="s">
        <v>17</v>
      </c>
      <c r="G73" s="2">
        <v>89</v>
      </c>
      <c r="H73" s="4">
        <v>5</v>
      </c>
      <c r="I73" s="4">
        <v>445</v>
      </c>
      <c r="J73" s="2">
        <v>83</v>
      </c>
      <c r="K73" s="2">
        <v>5</v>
      </c>
      <c r="L73" s="2">
        <v>14</v>
      </c>
      <c r="M73" s="17" t="s">
        <v>22</v>
      </c>
    </row>
    <row r="74" spans="1:13" x14ac:dyDescent="0.3">
      <c r="A74" s="16" t="s">
        <v>103</v>
      </c>
      <c r="B74" s="3">
        <v>46195</v>
      </c>
      <c r="C74" s="2" t="s">
        <v>27</v>
      </c>
      <c r="D74" s="2" t="s">
        <v>9</v>
      </c>
      <c r="E74" s="2" t="s">
        <v>24</v>
      </c>
      <c r="F74" s="2" t="s">
        <v>17</v>
      </c>
      <c r="G74" s="2">
        <v>26</v>
      </c>
      <c r="H74" s="4">
        <v>5</v>
      </c>
      <c r="I74" s="4">
        <v>130</v>
      </c>
      <c r="J74" s="2">
        <v>97</v>
      </c>
      <c r="K74" s="2">
        <v>3</v>
      </c>
      <c r="L74" s="2">
        <v>2</v>
      </c>
      <c r="M74" s="17" t="s">
        <v>32</v>
      </c>
    </row>
    <row r="75" spans="1:13" x14ac:dyDescent="0.3">
      <c r="A75" s="16" t="s">
        <v>104</v>
      </c>
      <c r="B75" s="3">
        <v>46122</v>
      </c>
      <c r="C75" s="2" t="s">
        <v>14</v>
      </c>
      <c r="D75" s="2" t="s">
        <v>15</v>
      </c>
      <c r="E75" s="2" t="s">
        <v>42</v>
      </c>
      <c r="F75" s="2" t="s">
        <v>11</v>
      </c>
      <c r="G75" s="2">
        <v>76</v>
      </c>
      <c r="H75" s="4">
        <v>50</v>
      </c>
      <c r="I75" s="4">
        <v>3800</v>
      </c>
      <c r="J75" s="2">
        <v>93</v>
      </c>
      <c r="K75" s="2">
        <v>5</v>
      </c>
      <c r="L75" s="2">
        <v>12</v>
      </c>
      <c r="M75" s="17" t="s">
        <v>22</v>
      </c>
    </row>
    <row r="76" spans="1:13" x14ac:dyDescent="0.3">
      <c r="A76" s="16" t="s">
        <v>105</v>
      </c>
      <c r="B76" s="3">
        <v>46137</v>
      </c>
      <c r="C76" s="2" t="s">
        <v>14</v>
      </c>
      <c r="D76" s="2" t="s">
        <v>19</v>
      </c>
      <c r="E76" s="2" t="s">
        <v>20</v>
      </c>
      <c r="F76" s="2" t="s">
        <v>21</v>
      </c>
      <c r="G76" s="2">
        <v>72</v>
      </c>
      <c r="H76" s="4">
        <v>250</v>
      </c>
      <c r="I76" s="4">
        <v>18000</v>
      </c>
      <c r="J76" s="2">
        <v>100</v>
      </c>
      <c r="K76" s="2">
        <v>2</v>
      </c>
      <c r="L76" s="2">
        <v>14</v>
      </c>
      <c r="M76" s="17" t="s">
        <v>22</v>
      </c>
    </row>
    <row r="77" spans="1:13" x14ac:dyDescent="0.3">
      <c r="A77" s="16" t="s">
        <v>106</v>
      </c>
      <c r="B77" s="3">
        <v>46064</v>
      </c>
      <c r="C77" s="2" t="s">
        <v>40</v>
      </c>
      <c r="D77" s="2" t="s">
        <v>15</v>
      </c>
      <c r="E77" s="2" t="s">
        <v>42</v>
      </c>
      <c r="F77" s="2" t="s">
        <v>17</v>
      </c>
      <c r="G77" s="2">
        <v>93</v>
      </c>
      <c r="H77" s="4">
        <v>50</v>
      </c>
      <c r="I77" s="4">
        <v>4650</v>
      </c>
      <c r="J77" s="2">
        <v>78</v>
      </c>
      <c r="K77" s="2">
        <v>3</v>
      </c>
      <c r="L77" s="2">
        <v>19</v>
      </c>
      <c r="M77" s="17" t="s">
        <v>22</v>
      </c>
    </row>
    <row r="78" spans="1:13" x14ac:dyDescent="0.3">
      <c r="A78" s="16" t="s">
        <v>107</v>
      </c>
      <c r="B78" s="3">
        <v>46077</v>
      </c>
      <c r="C78" s="2" t="s">
        <v>8</v>
      </c>
      <c r="D78" s="2" t="s">
        <v>15</v>
      </c>
      <c r="E78" s="2" t="s">
        <v>20</v>
      </c>
      <c r="F78" s="2" t="s">
        <v>25</v>
      </c>
      <c r="G78" s="2">
        <v>61</v>
      </c>
      <c r="H78" s="4">
        <v>20</v>
      </c>
      <c r="I78" s="4">
        <v>1220</v>
      </c>
      <c r="J78" s="2">
        <v>73</v>
      </c>
      <c r="K78" s="2">
        <v>3</v>
      </c>
      <c r="L78" s="2">
        <v>8</v>
      </c>
      <c r="M78" s="17" t="s">
        <v>22</v>
      </c>
    </row>
    <row r="79" spans="1:13" x14ac:dyDescent="0.3">
      <c r="A79" s="16" t="s">
        <v>108</v>
      </c>
      <c r="B79" s="3">
        <v>46136</v>
      </c>
      <c r="C79" s="2" t="s">
        <v>30</v>
      </c>
      <c r="D79" s="2" t="s">
        <v>24</v>
      </c>
      <c r="E79" s="2" t="s">
        <v>16</v>
      </c>
      <c r="F79" s="2" t="s">
        <v>31</v>
      </c>
      <c r="G79" s="2">
        <v>17</v>
      </c>
      <c r="H79" s="4">
        <v>20</v>
      </c>
      <c r="I79" s="4">
        <v>340</v>
      </c>
      <c r="J79" s="2">
        <v>75</v>
      </c>
      <c r="K79" s="2">
        <v>5</v>
      </c>
      <c r="L79" s="2">
        <v>15</v>
      </c>
      <c r="M79" s="17" t="s">
        <v>22</v>
      </c>
    </row>
    <row r="80" spans="1:13" x14ac:dyDescent="0.3">
      <c r="A80" s="16" t="s">
        <v>109</v>
      </c>
      <c r="B80" s="3">
        <v>46039</v>
      </c>
      <c r="C80" s="2" t="s">
        <v>14</v>
      </c>
      <c r="D80" s="2" t="s">
        <v>19</v>
      </c>
      <c r="E80" s="2" t="s">
        <v>24</v>
      </c>
      <c r="F80" s="2" t="s">
        <v>17</v>
      </c>
      <c r="G80" s="2">
        <v>47</v>
      </c>
      <c r="H80" s="4">
        <v>100</v>
      </c>
      <c r="I80" s="4">
        <v>4700</v>
      </c>
      <c r="J80" s="2">
        <v>77</v>
      </c>
      <c r="K80" s="2">
        <v>3</v>
      </c>
      <c r="L80" s="2">
        <v>12</v>
      </c>
      <c r="M80" s="17" t="s">
        <v>32</v>
      </c>
    </row>
    <row r="81" spans="1:13" x14ac:dyDescent="0.3">
      <c r="A81" s="16" t="s">
        <v>110</v>
      </c>
      <c r="B81" s="3">
        <v>46086</v>
      </c>
      <c r="C81" s="2" t="s">
        <v>40</v>
      </c>
      <c r="D81" s="2" t="s">
        <v>28</v>
      </c>
      <c r="E81" s="2" t="s">
        <v>20</v>
      </c>
      <c r="F81" s="2" t="s">
        <v>11</v>
      </c>
      <c r="G81" s="2">
        <v>84</v>
      </c>
      <c r="H81" s="4">
        <v>100</v>
      </c>
      <c r="I81" s="4">
        <v>8400</v>
      </c>
      <c r="J81" s="2">
        <v>89</v>
      </c>
      <c r="K81" s="2">
        <v>3</v>
      </c>
      <c r="L81" s="2">
        <v>20</v>
      </c>
      <c r="M81" s="17" t="s">
        <v>22</v>
      </c>
    </row>
    <row r="82" spans="1:13" x14ac:dyDescent="0.3">
      <c r="A82" s="16" t="s">
        <v>111</v>
      </c>
      <c r="B82" s="3">
        <v>46037</v>
      </c>
      <c r="C82" s="2" t="s">
        <v>30</v>
      </c>
      <c r="D82" s="2" t="s">
        <v>24</v>
      </c>
      <c r="E82" s="2" t="s">
        <v>10</v>
      </c>
      <c r="F82" s="2" t="s">
        <v>21</v>
      </c>
      <c r="G82" s="2">
        <v>72</v>
      </c>
      <c r="H82" s="4">
        <v>20</v>
      </c>
      <c r="I82" s="4">
        <v>1440</v>
      </c>
      <c r="J82" s="2">
        <v>76</v>
      </c>
      <c r="K82" s="2">
        <v>3</v>
      </c>
      <c r="L82" s="2">
        <v>9</v>
      </c>
      <c r="M82" s="17" t="s">
        <v>22</v>
      </c>
    </row>
    <row r="83" spans="1:13" x14ac:dyDescent="0.3">
      <c r="A83" s="16" t="s">
        <v>112</v>
      </c>
      <c r="B83" s="3">
        <v>46023</v>
      </c>
      <c r="C83" s="2" t="s">
        <v>40</v>
      </c>
      <c r="D83" s="2" t="s">
        <v>28</v>
      </c>
      <c r="E83" s="2" t="s">
        <v>16</v>
      </c>
      <c r="F83" s="2" t="s">
        <v>11</v>
      </c>
      <c r="G83" s="2">
        <v>11</v>
      </c>
      <c r="H83" s="4">
        <v>50</v>
      </c>
      <c r="I83" s="4">
        <v>550</v>
      </c>
      <c r="J83" s="2">
        <v>100</v>
      </c>
      <c r="K83" s="2">
        <v>4</v>
      </c>
      <c r="L83" s="2">
        <v>7</v>
      </c>
      <c r="M83" s="17" t="s">
        <v>22</v>
      </c>
    </row>
    <row r="84" spans="1:13" x14ac:dyDescent="0.3">
      <c r="A84" s="16" t="s">
        <v>113</v>
      </c>
      <c r="B84" s="3">
        <v>46072</v>
      </c>
      <c r="C84" s="2" t="s">
        <v>14</v>
      </c>
      <c r="D84" s="2" t="s">
        <v>15</v>
      </c>
      <c r="E84" s="2" t="s">
        <v>24</v>
      </c>
      <c r="F84" s="2" t="s">
        <v>21</v>
      </c>
      <c r="G84" s="2">
        <v>84</v>
      </c>
      <c r="H84" s="4">
        <v>50</v>
      </c>
      <c r="I84" s="4">
        <v>4200</v>
      </c>
      <c r="J84" s="2">
        <v>84</v>
      </c>
      <c r="K84" s="2">
        <v>2</v>
      </c>
      <c r="L84" s="2">
        <v>5</v>
      </c>
      <c r="M84" s="17" t="s">
        <v>22</v>
      </c>
    </row>
    <row r="85" spans="1:13" x14ac:dyDescent="0.3">
      <c r="A85" s="16" t="s">
        <v>114</v>
      </c>
      <c r="B85" s="3">
        <v>46060</v>
      </c>
      <c r="C85" s="2" t="s">
        <v>35</v>
      </c>
      <c r="D85" s="2" t="s">
        <v>24</v>
      </c>
      <c r="E85" s="2" t="s">
        <v>10</v>
      </c>
      <c r="F85" s="2" t="s">
        <v>17</v>
      </c>
      <c r="G85" s="2">
        <v>98</v>
      </c>
      <c r="H85" s="4">
        <v>250</v>
      </c>
      <c r="I85" s="4">
        <v>24500</v>
      </c>
      <c r="J85" s="2">
        <v>88</v>
      </c>
      <c r="K85" s="2">
        <v>4</v>
      </c>
      <c r="L85" s="2">
        <v>15</v>
      </c>
      <c r="M85" s="17" t="s">
        <v>22</v>
      </c>
    </row>
    <row r="86" spans="1:13" x14ac:dyDescent="0.3">
      <c r="A86" s="16" t="s">
        <v>115</v>
      </c>
      <c r="B86" s="3">
        <v>46028</v>
      </c>
      <c r="C86" s="2" t="s">
        <v>30</v>
      </c>
      <c r="D86" s="2" t="s">
        <v>28</v>
      </c>
      <c r="E86" s="2" t="s">
        <v>16</v>
      </c>
      <c r="F86" s="2" t="s">
        <v>21</v>
      </c>
      <c r="G86" s="2">
        <v>74</v>
      </c>
      <c r="H86" s="4">
        <v>10</v>
      </c>
      <c r="I86" s="4">
        <v>740</v>
      </c>
      <c r="J86" s="2">
        <v>88</v>
      </c>
      <c r="K86" s="2">
        <v>2</v>
      </c>
      <c r="L86" s="2">
        <v>6</v>
      </c>
      <c r="M86" s="17" t="s">
        <v>32</v>
      </c>
    </row>
    <row r="87" spans="1:13" x14ac:dyDescent="0.3">
      <c r="A87" s="16" t="s">
        <v>116</v>
      </c>
      <c r="B87" s="3">
        <v>46023</v>
      </c>
      <c r="C87" s="2" t="s">
        <v>35</v>
      </c>
      <c r="D87" s="2" t="s">
        <v>28</v>
      </c>
      <c r="E87" s="2" t="s">
        <v>16</v>
      </c>
      <c r="F87" s="2" t="s">
        <v>31</v>
      </c>
      <c r="G87" s="2">
        <v>28</v>
      </c>
      <c r="H87" s="4">
        <v>10</v>
      </c>
      <c r="I87" s="4">
        <v>280</v>
      </c>
      <c r="J87" s="2">
        <v>99</v>
      </c>
      <c r="K87" s="2">
        <v>3</v>
      </c>
      <c r="L87" s="2">
        <v>9</v>
      </c>
      <c r="M87" s="17" t="s">
        <v>22</v>
      </c>
    </row>
    <row r="88" spans="1:13" x14ac:dyDescent="0.3">
      <c r="A88" s="16" t="s">
        <v>117</v>
      </c>
      <c r="B88" s="3">
        <v>46077</v>
      </c>
      <c r="C88" s="2" t="s">
        <v>35</v>
      </c>
      <c r="D88" s="2" t="s">
        <v>9</v>
      </c>
      <c r="E88" s="2" t="s">
        <v>42</v>
      </c>
      <c r="F88" s="2" t="s">
        <v>21</v>
      </c>
      <c r="G88" s="2">
        <v>84</v>
      </c>
      <c r="H88" s="4">
        <v>10</v>
      </c>
      <c r="I88" s="4">
        <v>840</v>
      </c>
      <c r="J88" s="2">
        <v>92</v>
      </c>
      <c r="K88" s="2">
        <v>4</v>
      </c>
      <c r="L88" s="2">
        <v>20</v>
      </c>
      <c r="M88" s="17" t="s">
        <v>22</v>
      </c>
    </row>
    <row r="89" spans="1:13" x14ac:dyDescent="0.3">
      <c r="A89" s="16" t="s">
        <v>118</v>
      </c>
      <c r="B89" s="3">
        <v>46187</v>
      </c>
      <c r="C89" s="2" t="s">
        <v>35</v>
      </c>
      <c r="D89" s="2" t="s">
        <v>28</v>
      </c>
      <c r="E89" s="2" t="s">
        <v>16</v>
      </c>
      <c r="F89" s="2" t="s">
        <v>31</v>
      </c>
      <c r="G89" s="2">
        <v>29</v>
      </c>
      <c r="H89" s="4">
        <v>5</v>
      </c>
      <c r="I89" s="4">
        <v>145</v>
      </c>
      <c r="J89" s="2">
        <v>70</v>
      </c>
      <c r="K89" s="2">
        <v>2</v>
      </c>
      <c r="L89" s="2">
        <v>4</v>
      </c>
      <c r="M89" s="17" t="s">
        <v>32</v>
      </c>
    </row>
    <row r="90" spans="1:13" x14ac:dyDescent="0.3">
      <c r="A90" s="16" t="s">
        <v>119</v>
      </c>
      <c r="B90" s="3">
        <v>46126</v>
      </c>
      <c r="C90" s="2" t="s">
        <v>30</v>
      </c>
      <c r="D90" s="2" t="s">
        <v>9</v>
      </c>
      <c r="E90" s="2" t="s">
        <v>20</v>
      </c>
      <c r="F90" s="2" t="s">
        <v>11</v>
      </c>
      <c r="G90" s="2">
        <v>13</v>
      </c>
      <c r="H90" s="4">
        <v>250</v>
      </c>
      <c r="I90" s="4">
        <v>3250</v>
      </c>
      <c r="J90" s="2">
        <v>71</v>
      </c>
      <c r="K90" s="2">
        <v>3</v>
      </c>
      <c r="L90" s="2">
        <v>7</v>
      </c>
      <c r="M90" s="17" t="s">
        <v>32</v>
      </c>
    </row>
    <row r="91" spans="1:13" x14ac:dyDescent="0.3">
      <c r="A91" s="16" t="s">
        <v>120</v>
      </c>
      <c r="B91" s="3">
        <v>46122</v>
      </c>
      <c r="C91" s="2" t="s">
        <v>8</v>
      </c>
      <c r="D91" s="2" t="s">
        <v>24</v>
      </c>
      <c r="E91" s="2" t="s">
        <v>16</v>
      </c>
      <c r="F91" s="2" t="s">
        <v>31</v>
      </c>
      <c r="G91" s="2">
        <v>72</v>
      </c>
      <c r="H91" s="4">
        <v>250</v>
      </c>
      <c r="I91" s="4">
        <v>18000</v>
      </c>
      <c r="J91" s="2">
        <v>98</v>
      </c>
      <c r="K91" s="2">
        <v>5</v>
      </c>
      <c r="L91" s="2">
        <v>11</v>
      </c>
      <c r="M91" s="17" t="s">
        <v>22</v>
      </c>
    </row>
    <row r="92" spans="1:13" x14ac:dyDescent="0.3">
      <c r="A92" s="16" t="s">
        <v>121</v>
      </c>
      <c r="B92" s="3">
        <v>46168</v>
      </c>
      <c r="C92" s="2" t="s">
        <v>30</v>
      </c>
      <c r="D92" s="2" t="s">
        <v>24</v>
      </c>
      <c r="E92" s="2" t="s">
        <v>42</v>
      </c>
      <c r="F92" s="2" t="s">
        <v>11</v>
      </c>
      <c r="G92" s="2">
        <v>66</v>
      </c>
      <c r="H92" s="4">
        <v>5</v>
      </c>
      <c r="I92" s="4">
        <v>330</v>
      </c>
      <c r="J92" s="2">
        <v>100</v>
      </c>
      <c r="K92" s="2">
        <v>5</v>
      </c>
      <c r="L92" s="2">
        <v>19</v>
      </c>
      <c r="M92" s="17" t="s">
        <v>22</v>
      </c>
    </row>
    <row r="93" spans="1:13" x14ac:dyDescent="0.3">
      <c r="A93" s="16" t="s">
        <v>122</v>
      </c>
      <c r="B93" s="3">
        <v>46082</v>
      </c>
      <c r="C93" s="2" t="s">
        <v>30</v>
      </c>
      <c r="D93" s="2" t="s">
        <v>19</v>
      </c>
      <c r="E93" s="2" t="s">
        <v>10</v>
      </c>
      <c r="F93" s="2" t="s">
        <v>11</v>
      </c>
      <c r="G93" s="2">
        <v>5</v>
      </c>
      <c r="H93" s="4">
        <v>100</v>
      </c>
      <c r="I93" s="4">
        <v>500</v>
      </c>
      <c r="J93" s="2">
        <v>90</v>
      </c>
      <c r="K93" s="2">
        <v>2</v>
      </c>
      <c r="L93" s="2">
        <v>12</v>
      </c>
      <c r="M93" s="17" t="s">
        <v>32</v>
      </c>
    </row>
    <row r="94" spans="1:13" x14ac:dyDescent="0.3">
      <c r="A94" s="16" t="s">
        <v>123</v>
      </c>
      <c r="B94" s="3">
        <v>46045</v>
      </c>
      <c r="C94" s="2" t="s">
        <v>40</v>
      </c>
      <c r="D94" s="2" t="s">
        <v>9</v>
      </c>
      <c r="E94" s="2" t="s">
        <v>42</v>
      </c>
      <c r="F94" s="2" t="s">
        <v>31</v>
      </c>
      <c r="G94" s="2">
        <v>83</v>
      </c>
      <c r="H94" s="4">
        <v>50</v>
      </c>
      <c r="I94" s="4">
        <v>4150</v>
      </c>
      <c r="J94" s="2">
        <v>79</v>
      </c>
      <c r="K94" s="2">
        <v>5</v>
      </c>
      <c r="L94" s="2">
        <v>9</v>
      </c>
      <c r="M94" s="17" t="s">
        <v>22</v>
      </c>
    </row>
    <row r="95" spans="1:13" x14ac:dyDescent="0.3">
      <c r="A95" s="16" t="s">
        <v>124</v>
      </c>
      <c r="B95" s="3">
        <v>46175</v>
      </c>
      <c r="C95" s="2" t="s">
        <v>35</v>
      </c>
      <c r="D95" s="2" t="s">
        <v>9</v>
      </c>
      <c r="E95" s="2" t="s">
        <v>16</v>
      </c>
      <c r="F95" s="2" t="s">
        <v>25</v>
      </c>
      <c r="G95" s="2">
        <v>91</v>
      </c>
      <c r="H95" s="4">
        <v>50</v>
      </c>
      <c r="I95" s="4">
        <v>4550</v>
      </c>
      <c r="J95" s="2">
        <v>97</v>
      </c>
      <c r="K95" s="2">
        <v>5</v>
      </c>
      <c r="L95" s="2">
        <v>3</v>
      </c>
      <c r="M95" s="17" t="s">
        <v>22</v>
      </c>
    </row>
    <row r="96" spans="1:13" x14ac:dyDescent="0.3">
      <c r="A96" s="16" t="s">
        <v>125</v>
      </c>
      <c r="B96" s="3">
        <v>46148</v>
      </c>
      <c r="C96" s="2" t="s">
        <v>8</v>
      </c>
      <c r="D96" s="2" t="s">
        <v>28</v>
      </c>
      <c r="E96" s="2" t="s">
        <v>42</v>
      </c>
      <c r="F96" s="2" t="s">
        <v>25</v>
      </c>
      <c r="G96" s="2">
        <v>84</v>
      </c>
      <c r="H96" s="4">
        <v>250</v>
      </c>
      <c r="I96" s="4">
        <v>21000</v>
      </c>
      <c r="J96" s="2">
        <v>76</v>
      </c>
      <c r="K96" s="2">
        <v>4</v>
      </c>
      <c r="L96" s="2">
        <v>3</v>
      </c>
      <c r="M96" s="17" t="s">
        <v>22</v>
      </c>
    </row>
    <row r="97" spans="1:13" x14ac:dyDescent="0.3">
      <c r="A97" s="16" t="s">
        <v>126</v>
      </c>
      <c r="B97" s="3">
        <v>46147</v>
      </c>
      <c r="C97" s="2" t="s">
        <v>14</v>
      </c>
      <c r="D97" s="2" t="s">
        <v>19</v>
      </c>
      <c r="E97" s="2" t="s">
        <v>20</v>
      </c>
      <c r="F97" s="2" t="s">
        <v>31</v>
      </c>
      <c r="G97" s="2">
        <v>28</v>
      </c>
      <c r="H97" s="4">
        <v>100</v>
      </c>
      <c r="I97" s="4">
        <v>2800</v>
      </c>
      <c r="J97" s="2">
        <v>89</v>
      </c>
      <c r="K97" s="2">
        <v>2</v>
      </c>
      <c r="L97" s="2">
        <v>17</v>
      </c>
      <c r="M97" s="17" t="s">
        <v>22</v>
      </c>
    </row>
    <row r="98" spans="1:13" x14ac:dyDescent="0.3">
      <c r="A98" s="16" t="s">
        <v>127</v>
      </c>
      <c r="B98" s="3">
        <v>46189</v>
      </c>
      <c r="C98" s="2" t="s">
        <v>14</v>
      </c>
      <c r="D98" s="2" t="s">
        <v>19</v>
      </c>
      <c r="E98" s="2" t="s">
        <v>16</v>
      </c>
      <c r="F98" s="2" t="s">
        <v>25</v>
      </c>
      <c r="G98" s="2">
        <v>95</v>
      </c>
      <c r="H98" s="4">
        <v>50</v>
      </c>
      <c r="I98" s="4">
        <v>4750</v>
      </c>
      <c r="J98" s="2">
        <v>74</v>
      </c>
      <c r="K98" s="2">
        <v>2</v>
      </c>
      <c r="L98" s="2">
        <v>5</v>
      </c>
      <c r="M98" s="17" t="s">
        <v>32</v>
      </c>
    </row>
    <row r="99" spans="1:13" x14ac:dyDescent="0.3">
      <c r="A99" s="16" t="s">
        <v>128</v>
      </c>
      <c r="B99" s="3">
        <v>46067</v>
      </c>
      <c r="C99" s="2" t="s">
        <v>30</v>
      </c>
      <c r="D99" s="2" t="s">
        <v>9</v>
      </c>
      <c r="E99" s="2" t="s">
        <v>42</v>
      </c>
      <c r="F99" s="2" t="s">
        <v>17</v>
      </c>
      <c r="G99" s="2">
        <v>52</v>
      </c>
      <c r="H99" s="4">
        <v>100</v>
      </c>
      <c r="I99" s="4">
        <v>5200</v>
      </c>
      <c r="J99" s="2">
        <v>76</v>
      </c>
      <c r="K99" s="2">
        <v>2</v>
      </c>
      <c r="L99" s="2">
        <v>9</v>
      </c>
      <c r="M99" s="17" t="s">
        <v>22</v>
      </c>
    </row>
    <row r="100" spans="1:13" x14ac:dyDescent="0.3">
      <c r="A100" s="16" t="s">
        <v>129</v>
      </c>
      <c r="B100" s="3">
        <v>46117</v>
      </c>
      <c r="C100" s="2" t="s">
        <v>8</v>
      </c>
      <c r="D100" s="2" t="s">
        <v>19</v>
      </c>
      <c r="E100" s="2" t="s">
        <v>10</v>
      </c>
      <c r="F100" s="2" t="s">
        <v>25</v>
      </c>
      <c r="G100" s="2">
        <v>37</v>
      </c>
      <c r="H100" s="4">
        <v>50</v>
      </c>
      <c r="I100" s="4">
        <v>1850</v>
      </c>
      <c r="J100" s="2">
        <v>73</v>
      </c>
      <c r="K100" s="2">
        <v>3</v>
      </c>
      <c r="L100" s="2">
        <v>11</v>
      </c>
      <c r="M100" s="17" t="s">
        <v>22</v>
      </c>
    </row>
    <row r="101" spans="1:13" x14ac:dyDescent="0.3">
      <c r="A101" s="16" t="s">
        <v>130</v>
      </c>
      <c r="B101" s="3">
        <v>46056</v>
      </c>
      <c r="C101" s="2" t="s">
        <v>35</v>
      </c>
      <c r="D101" s="2" t="s">
        <v>24</v>
      </c>
      <c r="E101" s="2" t="s">
        <v>42</v>
      </c>
      <c r="F101" s="2" t="s">
        <v>17</v>
      </c>
      <c r="G101" s="2">
        <v>62</v>
      </c>
      <c r="H101" s="4">
        <v>20</v>
      </c>
      <c r="I101" s="4">
        <v>1240</v>
      </c>
      <c r="J101" s="2">
        <v>76</v>
      </c>
      <c r="K101" s="2">
        <v>3</v>
      </c>
      <c r="L101" s="2">
        <v>3</v>
      </c>
      <c r="M101" s="17" t="s">
        <v>22</v>
      </c>
    </row>
    <row r="102" spans="1:13" x14ac:dyDescent="0.3">
      <c r="A102" s="16" t="s">
        <v>131</v>
      </c>
      <c r="B102" s="3">
        <v>46120</v>
      </c>
      <c r="C102" s="2" t="s">
        <v>8</v>
      </c>
      <c r="D102" s="2" t="s">
        <v>28</v>
      </c>
      <c r="E102" s="2" t="s">
        <v>24</v>
      </c>
      <c r="F102" s="2" t="s">
        <v>25</v>
      </c>
      <c r="G102" s="2">
        <v>47</v>
      </c>
      <c r="H102" s="4">
        <v>10</v>
      </c>
      <c r="I102" s="4">
        <v>470</v>
      </c>
      <c r="J102" s="2">
        <v>78</v>
      </c>
      <c r="K102" s="2">
        <v>3</v>
      </c>
      <c r="L102" s="2">
        <v>16</v>
      </c>
      <c r="M102" s="17" t="s">
        <v>22</v>
      </c>
    </row>
    <row r="103" spans="1:13" x14ac:dyDescent="0.3">
      <c r="A103" s="16" t="s">
        <v>132</v>
      </c>
      <c r="B103" s="3">
        <v>46181</v>
      </c>
      <c r="C103" s="2" t="s">
        <v>14</v>
      </c>
      <c r="D103" s="2" t="s">
        <v>28</v>
      </c>
      <c r="E103" s="2" t="s">
        <v>24</v>
      </c>
      <c r="F103" s="2" t="s">
        <v>17</v>
      </c>
      <c r="G103" s="2">
        <v>44</v>
      </c>
      <c r="H103" s="4">
        <v>10</v>
      </c>
      <c r="I103" s="4">
        <v>440</v>
      </c>
      <c r="J103" s="2">
        <v>94</v>
      </c>
      <c r="K103" s="2">
        <v>2</v>
      </c>
      <c r="L103" s="2">
        <v>5</v>
      </c>
      <c r="M103" s="17" t="s">
        <v>22</v>
      </c>
    </row>
    <row r="104" spans="1:13" x14ac:dyDescent="0.3">
      <c r="A104" s="16" t="s">
        <v>133</v>
      </c>
      <c r="B104" s="3">
        <v>46098</v>
      </c>
      <c r="C104" s="2" t="s">
        <v>30</v>
      </c>
      <c r="D104" s="2" t="s">
        <v>19</v>
      </c>
      <c r="E104" s="2" t="s">
        <v>10</v>
      </c>
      <c r="F104" s="2" t="s">
        <v>31</v>
      </c>
      <c r="G104" s="2">
        <v>43</v>
      </c>
      <c r="H104" s="4">
        <v>5</v>
      </c>
      <c r="I104" s="4">
        <v>215</v>
      </c>
      <c r="J104" s="2">
        <v>95</v>
      </c>
      <c r="K104" s="2">
        <v>5</v>
      </c>
      <c r="L104" s="2">
        <v>15</v>
      </c>
      <c r="M104" s="17" t="s">
        <v>22</v>
      </c>
    </row>
    <row r="105" spans="1:13" x14ac:dyDescent="0.3">
      <c r="A105" s="16" t="s">
        <v>134</v>
      </c>
      <c r="B105" s="3">
        <v>46106</v>
      </c>
      <c r="C105" s="2" t="s">
        <v>14</v>
      </c>
      <c r="D105" s="2" t="s">
        <v>9</v>
      </c>
      <c r="E105" s="2" t="s">
        <v>20</v>
      </c>
      <c r="F105" s="2" t="s">
        <v>21</v>
      </c>
      <c r="G105" s="2">
        <v>57</v>
      </c>
      <c r="H105" s="4">
        <v>5</v>
      </c>
      <c r="I105" s="4">
        <v>285</v>
      </c>
      <c r="J105" s="2">
        <v>84</v>
      </c>
      <c r="K105" s="2">
        <v>4</v>
      </c>
      <c r="L105" s="2">
        <v>16</v>
      </c>
      <c r="M105" s="17" t="s">
        <v>32</v>
      </c>
    </row>
    <row r="106" spans="1:13" x14ac:dyDescent="0.3">
      <c r="A106" s="16" t="s">
        <v>135</v>
      </c>
      <c r="B106" s="3">
        <v>46070</v>
      </c>
      <c r="C106" s="2" t="s">
        <v>27</v>
      </c>
      <c r="D106" s="2" t="s">
        <v>9</v>
      </c>
      <c r="E106" s="2" t="s">
        <v>10</v>
      </c>
      <c r="F106" s="2" t="s">
        <v>11</v>
      </c>
      <c r="G106" s="2">
        <v>7</v>
      </c>
      <c r="H106" s="4">
        <v>10</v>
      </c>
      <c r="I106" s="4">
        <v>70</v>
      </c>
      <c r="J106" s="2">
        <v>75</v>
      </c>
      <c r="K106" s="2">
        <v>5</v>
      </c>
      <c r="L106" s="2">
        <v>15</v>
      </c>
      <c r="M106" s="17" t="s">
        <v>32</v>
      </c>
    </row>
    <row r="107" spans="1:13" x14ac:dyDescent="0.3">
      <c r="A107" s="16" t="s">
        <v>136</v>
      </c>
      <c r="B107" s="3">
        <v>46093</v>
      </c>
      <c r="C107" s="2" t="s">
        <v>27</v>
      </c>
      <c r="D107" s="2" t="s">
        <v>19</v>
      </c>
      <c r="E107" s="2" t="s">
        <v>42</v>
      </c>
      <c r="F107" s="2" t="s">
        <v>25</v>
      </c>
      <c r="G107" s="2">
        <v>6</v>
      </c>
      <c r="H107" s="4">
        <v>20</v>
      </c>
      <c r="I107" s="4">
        <v>120</v>
      </c>
      <c r="J107" s="2">
        <v>72</v>
      </c>
      <c r="K107" s="2">
        <v>3</v>
      </c>
      <c r="L107" s="2">
        <v>8</v>
      </c>
      <c r="M107" s="17" t="s">
        <v>32</v>
      </c>
    </row>
    <row r="108" spans="1:13" x14ac:dyDescent="0.3">
      <c r="A108" s="16" t="s">
        <v>137</v>
      </c>
      <c r="B108" s="3">
        <v>46151</v>
      </c>
      <c r="C108" s="2" t="s">
        <v>40</v>
      </c>
      <c r="D108" s="2" t="s">
        <v>15</v>
      </c>
      <c r="E108" s="2" t="s">
        <v>20</v>
      </c>
      <c r="F108" s="2" t="s">
        <v>31</v>
      </c>
      <c r="G108" s="2">
        <v>74</v>
      </c>
      <c r="H108" s="4">
        <v>5</v>
      </c>
      <c r="I108" s="4">
        <v>370</v>
      </c>
      <c r="J108" s="2">
        <v>89</v>
      </c>
      <c r="K108" s="2">
        <v>5</v>
      </c>
      <c r="L108" s="2">
        <v>18</v>
      </c>
      <c r="M108" s="17" t="s">
        <v>22</v>
      </c>
    </row>
    <row r="109" spans="1:13" x14ac:dyDescent="0.3">
      <c r="A109" s="16" t="s">
        <v>138</v>
      </c>
      <c r="B109" s="3">
        <v>46071</v>
      </c>
      <c r="C109" s="2" t="s">
        <v>27</v>
      </c>
      <c r="D109" s="2" t="s">
        <v>24</v>
      </c>
      <c r="E109" s="2" t="s">
        <v>10</v>
      </c>
      <c r="F109" s="2" t="s">
        <v>25</v>
      </c>
      <c r="G109" s="2">
        <v>31</v>
      </c>
      <c r="H109" s="4">
        <v>20</v>
      </c>
      <c r="I109" s="4">
        <v>620</v>
      </c>
      <c r="J109" s="2">
        <v>87</v>
      </c>
      <c r="K109" s="2">
        <v>4</v>
      </c>
      <c r="L109" s="2">
        <v>5</v>
      </c>
      <c r="M109" s="17" t="s">
        <v>22</v>
      </c>
    </row>
    <row r="110" spans="1:13" x14ac:dyDescent="0.3">
      <c r="A110" s="16" t="s">
        <v>139</v>
      </c>
      <c r="B110" s="3">
        <v>46201</v>
      </c>
      <c r="C110" s="2" t="s">
        <v>40</v>
      </c>
      <c r="D110" s="2" t="s">
        <v>28</v>
      </c>
      <c r="E110" s="2" t="s">
        <v>24</v>
      </c>
      <c r="F110" s="2" t="s">
        <v>31</v>
      </c>
      <c r="G110" s="2">
        <v>48</v>
      </c>
      <c r="H110" s="4">
        <v>250</v>
      </c>
      <c r="I110" s="4">
        <v>12000</v>
      </c>
      <c r="J110" s="2">
        <v>86</v>
      </c>
      <c r="K110" s="2">
        <v>3</v>
      </c>
      <c r="L110" s="2">
        <v>7</v>
      </c>
      <c r="M110" s="17" t="s">
        <v>22</v>
      </c>
    </row>
    <row r="111" spans="1:13" x14ac:dyDescent="0.3">
      <c r="A111" s="16" t="s">
        <v>140</v>
      </c>
      <c r="B111" s="3">
        <v>46092</v>
      </c>
      <c r="C111" s="2" t="s">
        <v>30</v>
      </c>
      <c r="D111" s="2" t="s">
        <v>15</v>
      </c>
      <c r="E111" s="2" t="s">
        <v>42</v>
      </c>
      <c r="F111" s="2" t="s">
        <v>11</v>
      </c>
      <c r="G111" s="2">
        <v>57</v>
      </c>
      <c r="H111" s="4">
        <v>50</v>
      </c>
      <c r="I111" s="4">
        <v>2850</v>
      </c>
      <c r="J111" s="2">
        <v>93</v>
      </c>
      <c r="K111" s="2">
        <v>2</v>
      </c>
      <c r="L111" s="2">
        <v>16</v>
      </c>
      <c r="M111" s="17" t="s">
        <v>22</v>
      </c>
    </row>
    <row r="112" spans="1:13" x14ac:dyDescent="0.3">
      <c r="A112" s="16" t="s">
        <v>141</v>
      </c>
      <c r="B112" s="3">
        <v>46088</v>
      </c>
      <c r="C112" s="2" t="s">
        <v>27</v>
      </c>
      <c r="D112" s="2" t="s">
        <v>28</v>
      </c>
      <c r="E112" s="2" t="s">
        <v>20</v>
      </c>
      <c r="F112" s="2" t="s">
        <v>25</v>
      </c>
      <c r="G112" s="2">
        <v>26</v>
      </c>
      <c r="H112" s="4">
        <v>10</v>
      </c>
      <c r="I112" s="4">
        <v>260</v>
      </c>
      <c r="J112" s="2">
        <v>99</v>
      </c>
      <c r="K112" s="2">
        <v>5</v>
      </c>
      <c r="L112" s="2">
        <v>4</v>
      </c>
      <c r="M112" s="17" t="s">
        <v>22</v>
      </c>
    </row>
    <row r="113" spans="1:13" x14ac:dyDescent="0.3">
      <c r="A113" s="16" t="s">
        <v>142</v>
      </c>
      <c r="B113" s="3">
        <v>46132</v>
      </c>
      <c r="C113" s="2" t="s">
        <v>30</v>
      </c>
      <c r="D113" s="2" t="s">
        <v>19</v>
      </c>
      <c r="E113" s="2" t="s">
        <v>24</v>
      </c>
      <c r="F113" s="2" t="s">
        <v>31</v>
      </c>
      <c r="G113" s="2">
        <v>52</v>
      </c>
      <c r="H113" s="4">
        <v>20</v>
      </c>
      <c r="I113" s="4">
        <v>1040</v>
      </c>
      <c r="J113" s="2">
        <v>99</v>
      </c>
      <c r="K113" s="2">
        <v>3</v>
      </c>
      <c r="L113" s="2">
        <v>19</v>
      </c>
      <c r="M113" s="17" t="s">
        <v>22</v>
      </c>
    </row>
    <row r="114" spans="1:13" x14ac:dyDescent="0.3">
      <c r="A114" s="16" t="s">
        <v>143</v>
      </c>
      <c r="B114" s="3">
        <v>46192</v>
      </c>
      <c r="C114" s="2" t="s">
        <v>14</v>
      </c>
      <c r="D114" s="2" t="s">
        <v>28</v>
      </c>
      <c r="E114" s="2" t="s">
        <v>20</v>
      </c>
      <c r="F114" s="2" t="s">
        <v>11</v>
      </c>
      <c r="G114" s="2">
        <v>3</v>
      </c>
      <c r="H114" s="4">
        <v>50</v>
      </c>
      <c r="I114" s="4">
        <v>150</v>
      </c>
      <c r="J114" s="2">
        <v>86</v>
      </c>
      <c r="K114" s="2">
        <v>3</v>
      </c>
      <c r="L114" s="2">
        <v>7</v>
      </c>
      <c r="M114" s="17" t="s">
        <v>22</v>
      </c>
    </row>
    <row r="115" spans="1:13" x14ac:dyDescent="0.3">
      <c r="A115" s="16" t="s">
        <v>144</v>
      </c>
      <c r="B115" s="3">
        <v>46121</v>
      </c>
      <c r="C115" s="2" t="s">
        <v>30</v>
      </c>
      <c r="D115" s="2" t="s">
        <v>9</v>
      </c>
      <c r="E115" s="2" t="s">
        <v>10</v>
      </c>
      <c r="F115" s="2" t="s">
        <v>31</v>
      </c>
      <c r="G115" s="2">
        <v>18</v>
      </c>
      <c r="H115" s="4">
        <v>50</v>
      </c>
      <c r="I115" s="4">
        <v>900</v>
      </c>
      <c r="J115" s="2">
        <v>83</v>
      </c>
      <c r="K115" s="2">
        <v>3</v>
      </c>
      <c r="L115" s="2">
        <v>18</v>
      </c>
      <c r="M115" s="17" t="s">
        <v>22</v>
      </c>
    </row>
    <row r="116" spans="1:13" x14ac:dyDescent="0.3">
      <c r="A116" s="16" t="s">
        <v>145</v>
      </c>
      <c r="B116" s="3">
        <v>46096</v>
      </c>
      <c r="C116" s="2" t="s">
        <v>14</v>
      </c>
      <c r="D116" s="2" t="s">
        <v>19</v>
      </c>
      <c r="E116" s="2" t="s">
        <v>24</v>
      </c>
      <c r="F116" s="2" t="s">
        <v>17</v>
      </c>
      <c r="G116" s="2">
        <v>15</v>
      </c>
      <c r="H116" s="4">
        <v>5</v>
      </c>
      <c r="I116" s="4">
        <v>75</v>
      </c>
      <c r="J116" s="2">
        <v>72</v>
      </c>
      <c r="K116" s="2">
        <v>2</v>
      </c>
      <c r="L116" s="2">
        <v>5</v>
      </c>
      <c r="M116" s="17" t="s">
        <v>22</v>
      </c>
    </row>
    <row r="117" spans="1:13" x14ac:dyDescent="0.3">
      <c r="A117" s="16" t="s">
        <v>146</v>
      </c>
      <c r="B117" s="3">
        <v>46025</v>
      </c>
      <c r="C117" s="2" t="s">
        <v>40</v>
      </c>
      <c r="D117" s="2" t="s">
        <v>24</v>
      </c>
      <c r="E117" s="2" t="s">
        <v>24</v>
      </c>
      <c r="F117" s="2" t="s">
        <v>21</v>
      </c>
      <c r="G117" s="2">
        <v>15</v>
      </c>
      <c r="H117" s="4">
        <v>20</v>
      </c>
      <c r="I117" s="4">
        <v>300</v>
      </c>
      <c r="J117" s="2">
        <v>93</v>
      </c>
      <c r="K117" s="2">
        <v>2</v>
      </c>
      <c r="L117" s="2">
        <v>4</v>
      </c>
      <c r="M117" s="17" t="s">
        <v>22</v>
      </c>
    </row>
    <row r="118" spans="1:13" x14ac:dyDescent="0.3">
      <c r="A118" s="16" t="s">
        <v>147</v>
      </c>
      <c r="B118" s="3">
        <v>46055</v>
      </c>
      <c r="C118" s="2" t="s">
        <v>8</v>
      </c>
      <c r="D118" s="2" t="s">
        <v>9</v>
      </c>
      <c r="E118" s="2" t="s">
        <v>10</v>
      </c>
      <c r="F118" s="2" t="s">
        <v>31</v>
      </c>
      <c r="G118" s="2">
        <v>21</v>
      </c>
      <c r="H118" s="4">
        <v>5</v>
      </c>
      <c r="I118" s="4">
        <v>105</v>
      </c>
      <c r="J118" s="2">
        <v>99</v>
      </c>
      <c r="K118" s="2">
        <v>4</v>
      </c>
      <c r="L118" s="2">
        <v>7</v>
      </c>
      <c r="M118" s="17" t="s">
        <v>32</v>
      </c>
    </row>
    <row r="119" spans="1:13" ht="14.4" customHeight="1" x14ac:dyDescent="0.3">
      <c r="A119" s="16" t="s">
        <v>148</v>
      </c>
      <c r="B119" s="3">
        <v>46108</v>
      </c>
      <c r="C119" s="2" t="s">
        <v>14</v>
      </c>
      <c r="D119" s="2" t="s">
        <v>9</v>
      </c>
      <c r="E119" s="2" t="s">
        <v>24</v>
      </c>
      <c r="F119" s="2" t="s">
        <v>17</v>
      </c>
      <c r="G119" s="2">
        <v>61</v>
      </c>
      <c r="H119" s="4">
        <v>250</v>
      </c>
      <c r="I119" s="4">
        <v>15250</v>
      </c>
      <c r="J119" s="2">
        <v>90</v>
      </c>
      <c r="K119" s="2">
        <v>4</v>
      </c>
      <c r="L119" s="2">
        <v>3</v>
      </c>
      <c r="M119" s="17" t="s">
        <v>22</v>
      </c>
    </row>
    <row r="120" spans="1:13" ht="14.4" customHeight="1" x14ac:dyDescent="0.3">
      <c r="A120" s="16" t="s">
        <v>149</v>
      </c>
      <c r="B120" s="3">
        <v>46150</v>
      </c>
      <c r="C120" s="2" t="s">
        <v>8</v>
      </c>
      <c r="D120" s="2" t="s">
        <v>28</v>
      </c>
      <c r="E120" s="2" t="s">
        <v>10</v>
      </c>
      <c r="F120" s="2" t="s">
        <v>31</v>
      </c>
      <c r="G120" s="2">
        <v>12</v>
      </c>
      <c r="H120" s="4">
        <v>100</v>
      </c>
      <c r="I120" s="4">
        <v>1200</v>
      </c>
      <c r="J120" s="2">
        <v>77</v>
      </c>
      <c r="K120" s="2">
        <v>2</v>
      </c>
      <c r="L120" s="2">
        <v>12</v>
      </c>
      <c r="M120" s="17" t="s">
        <v>22</v>
      </c>
    </row>
    <row r="121" spans="1:13" x14ac:dyDescent="0.3">
      <c r="A121" s="16" t="s">
        <v>150</v>
      </c>
      <c r="B121" s="3">
        <v>46090</v>
      </c>
      <c r="C121" s="2" t="s">
        <v>27</v>
      </c>
      <c r="D121" s="2" t="s">
        <v>28</v>
      </c>
      <c r="E121" s="2" t="s">
        <v>20</v>
      </c>
      <c r="F121" s="2" t="s">
        <v>25</v>
      </c>
      <c r="G121" s="2">
        <v>12</v>
      </c>
      <c r="H121" s="4">
        <v>100</v>
      </c>
      <c r="I121" s="4">
        <v>1200</v>
      </c>
      <c r="J121" s="2">
        <v>80</v>
      </c>
      <c r="K121" s="2">
        <v>2</v>
      </c>
      <c r="L121" s="2">
        <v>3</v>
      </c>
      <c r="M121" s="17" t="s">
        <v>22</v>
      </c>
    </row>
    <row r="122" spans="1:13" ht="14.4" customHeight="1" x14ac:dyDescent="0.3">
      <c r="A122" s="16" t="s">
        <v>151</v>
      </c>
      <c r="B122" s="3">
        <v>46047</v>
      </c>
      <c r="C122" s="2" t="s">
        <v>14</v>
      </c>
      <c r="D122" s="2" t="s">
        <v>9</v>
      </c>
      <c r="E122" s="2" t="s">
        <v>20</v>
      </c>
      <c r="F122" s="2" t="s">
        <v>11</v>
      </c>
      <c r="G122" s="2">
        <v>50</v>
      </c>
      <c r="H122" s="4">
        <v>250</v>
      </c>
      <c r="I122" s="4">
        <v>12500</v>
      </c>
      <c r="J122" s="2">
        <v>94</v>
      </c>
      <c r="K122" s="2">
        <v>3</v>
      </c>
      <c r="L122" s="2">
        <v>8</v>
      </c>
      <c r="M122" s="17" t="s">
        <v>22</v>
      </c>
    </row>
    <row r="123" spans="1:13" ht="14.4" customHeight="1" x14ac:dyDescent="0.3">
      <c r="A123" s="16" t="s">
        <v>152</v>
      </c>
      <c r="B123" s="3">
        <v>46118</v>
      </c>
      <c r="C123" s="2" t="s">
        <v>35</v>
      </c>
      <c r="D123" s="2" t="s">
        <v>28</v>
      </c>
      <c r="E123" s="2" t="s">
        <v>10</v>
      </c>
      <c r="F123" s="2" t="s">
        <v>11</v>
      </c>
      <c r="G123" s="2">
        <v>12</v>
      </c>
      <c r="H123" s="4">
        <v>5</v>
      </c>
      <c r="I123" s="4">
        <v>60</v>
      </c>
      <c r="J123" s="2">
        <v>83</v>
      </c>
      <c r="K123" s="2">
        <v>3</v>
      </c>
      <c r="L123" s="2">
        <v>3</v>
      </c>
      <c r="M123" s="17" t="s">
        <v>22</v>
      </c>
    </row>
    <row r="124" spans="1:13" ht="14.4" customHeight="1" x14ac:dyDescent="0.3">
      <c r="A124" s="16" t="s">
        <v>153</v>
      </c>
      <c r="B124" s="3">
        <v>46134</v>
      </c>
      <c r="C124" s="2" t="s">
        <v>27</v>
      </c>
      <c r="D124" s="2" t="s">
        <v>24</v>
      </c>
      <c r="E124" s="2" t="s">
        <v>42</v>
      </c>
      <c r="F124" s="2" t="s">
        <v>17</v>
      </c>
      <c r="G124" s="2">
        <v>13</v>
      </c>
      <c r="H124" s="4">
        <v>20</v>
      </c>
      <c r="I124" s="4">
        <v>260</v>
      </c>
      <c r="J124" s="2">
        <v>92</v>
      </c>
      <c r="K124" s="2">
        <v>2</v>
      </c>
      <c r="L124" s="2">
        <v>15</v>
      </c>
      <c r="M124" s="17" t="s">
        <v>22</v>
      </c>
    </row>
    <row r="125" spans="1:13" ht="14.4" customHeight="1" x14ac:dyDescent="0.3">
      <c r="A125" s="16" t="s">
        <v>154</v>
      </c>
      <c r="B125" s="3">
        <v>46092</v>
      </c>
      <c r="C125" s="2" t="s">
        <v>8</v>
      </c>
      <c r="D125" s="2" t="s">
        <v>28</v>
      </c>
      <c r="E125" s="2" t="s">
        <v>16</v>
      </c>
      <c r="F125" s="2" t="s">
        <v>25</v>
      </c>
      <c r="G125" s="2">
        <v>27</v>
      </c>
      <c r="H125" s="4">
        <v>10</v>
      </c>
      <c r="I125" s="4">
        <v>270</v>
      </c>
      <c r="J125" s="2">
        <v>84</v>
      </c>
      <c r="K125" s="2">
        <v>4</v>
      </c>
      <c r="L125" s="2">
        <v>2</v>
      </c>
      <c r="M125" s="17" t="s">
        <v>22</v>
      </c>
    </row>
    <row r="126" spans="1:13" ht="14.4" customHeight="1" x14ac:dyDescent="0.3">
      <c r="A126" s="16" t="s">
        <v>155</v>
      </c>
      <c r="B126" s="3">
        <v>46147</v>
      </c>
      <c r="C126" s="2" t="s">
        <v>8</v>
      </c>
      <c r="D126" s="2" t="s">
        <v>19</v>
      </c>
      <c r="E126" s="2" t="s">
        <v>10</v>
      </c>
      <c r="F126" s="2" t="s">
        <v>25</v>
      </c>
      <c r="G126" s="2">
        <v>89</v>
      </c>
      <c r="H126" s="4">
        <v>50</v>
      </c>
      <c r="I126" s="4">
        <v>4450</v>
      </c>
      <c r="J126" s="2">
        <v>92</v>
      </c>
      <c r="K126" s="2">
        <v>4</v>
      </c>
      <c r="L126" s="2">
        <v>11</v>
      </c>
      <c r="M126" s="17" t="s">
        <v>22</v>
      </c>
    </row>
    <row r="127" spans="1:13" ht="14.4" customHeight="1" x14ac:dyDescent="0.3">
      <c r="A127" s="16" t="s">
        <v>156</v>
      </c>
      <c r="B127" s="3">
        <v>46063</v>
      </c>
      <c r="C127" s="2" t="s">
        <v>27</v>
      </c>
      <c r="D127" s="2" t="s">
        <v>28</v>
      </c>
      <c r="E127" s="2" t="s">
        <v>20</v>
      </c>
      <c r="F127" s="2" t="s">
        <v>21</v>
      </c>
      <c r="G127" s="2">
        <v>10</v>
      </c>
      <c r="H127" s="4">
        <v>100</v>
      </c>
      <c r="I127" s="4">
        <v>1000</v>
      </c>
      <c r="J127" s="2">
        <v>96</v>
      </c>
      <c r="K127" s="2">
        <v>5</v>
      </c>
      <c r="L127" s="2">
        <v>2</v>
      </c>
      <c r="M127" s="17" t="s">
        <v>22</v>
      </c>
    </row>
    <row r="128" spans="1:13" ht="14.4" customHeight="1" x14ac:dyDescent="0.3">
      <c r="A128" s="16" t="s">
        <v>157</v>
      </c>
      <c r="B128" s="3">
        <v>46121</v>
      </c>
      <c r="C128" s="2" t="s">
        <v>8</v>
      </c>
      <c r="D128" s="2" t="s">
        <v>19</v>
      </c>
      <c r="E128" s="2" t="s">
        <v>20</v>
      </c>
      <c r="F128" s="2" t="s">
        <v>21</v>
      </c>
      <c r="G128" s="2">
        <v>94</v>
      </c>
      <c r="H128" s="4">
        <v>10</v>
      </c>
      <c r="I128" s="4">
        <v>940</v>
      </c>
      <c r="J128" s="2">
        <v>85</v>
      </c>
      <c r="K128" s="2">
        <v>2</v>
      </c>
      <c r="L128" s="2">
        <v>8</v>
      </c>
      <c r="M128" s="17" t="s">
        <v>22</v>
      </c>
    </row>
    <row r="129" spans="1:13" ht="14.4" customHeight="1" x14ac:dyDescent="0.3">
      <c r="A129" s="16" t="s">
        <v>158</v>
      </c>
      <c r="B129" s="3">
        <v>46138</v>
      </c>
      <c r="C129" s="2" t="s">
        <v>40</v>
      </c>
      <c r="D129" s="2" t="s">
        <v>15</v>
      </c>
      <c r="E129" s="2" t="s">
        <v>20</v>
      </c>
      <c r="F129" s="2" t="s">
        <v>17</v>
      </c>
      <c r="G129" s="2">
        <v>79</v>
      </c>
      <c r="H129" s="4">
        <v>20</v>
      </c>
      <c r="I129" s="4">
        <v>1580</v>
      </c>
      <c r="J129" s="2">
        <v>70</v>
      </c>
      <c r="K129" s="2">
        <v>2</v>
      </c>
      <c r="L129" s="2">
        <v>4</v>
      </c>
      <c r="M129" s="17" t="s">
        <v>22</v>
      </c>
    </row>
    <row r="130" spans="1:13" ht="14.4" customHeight="1" x14ac:dyDescent="0.3">
      <c r="A130" s="16" t="s">
        <v>159</v>
      </c>
      <c r="B130" s="3">
        <v>46106</v>
      </c>
      <c r="C130" s="2" t="s">
        <v>30</v>
      </c>
      <c r="D130" s="2" t="s">
        <v>24</v>
      </c>
      <c r="E130" s="2" t="s">
        <v>24</v>
      </c>
      <c r="F130" s="2" t="s">
        <v>17</v>
      </c>
      <c r="G130" s="2">
        <v>68</v>
      </c>
      <c r="H130" s="4">
        <v>10</v>
      </c>
      <c r="I130" s="4">
        <v>680</v>
      </c>
      <c r="J130" s="2">
        <v>74</v>
      </c>
      <c r="K130" s="2">
        <v>2</v>
      </c>
      <c r="L130" s="2">
        <v>10</v>
      </c>
      <c r="M130" s="17" t="s">
        <v>32</v>
      </c>
    </row>
    <row r="131" spans="1:13" ht="14.4" customHeight="1" x14ac:dyDescent="0.3">
      <c r="A131" s="16" t="s">
        <v>160</v>
      </c>
      <c r="B131" s="3">
        <v>46107</v>
      </c>
      <c r="C131" s="2" t="s">
        <v>35</v>
      </c>
      <c r="D131" s="2" t="s">
        <v>15</v>
      </c>
      <c r="E131" s="2" t="s">
        <v>20</v>
      </c>
      <c r="F131" s="2" t="s">
        <v>31</v>
      </c>
      <c r="G131" s="2">
        <v>80</v>
      </c>
      <c r="H131" s="4">
        <v>10</v>
      </c>
      <c r="I131" s="4">
        <v>800</v>
      </c>
      <c r="J131" s="2">
        <v>87</v>
      </c>
      <c r="K131" s="2">
        <v>2</v>
      </c>
      <c r="L131" s="2">
        <v>2</v>
      </c>
      <c r="M131" s="17" t="s">
        <v>32</v>
      </c>
    </row>
    <row r="132" spans="1:13" ht="14.4" customHeight="1" x14ac:dyDescent="0.3">
      <c r="A132" s="16" t="s">
        <v>161</v>
      </c>
      <c r="B132" s="3">
        <v>46147</v>
      </c>
      <c r="C132" s="2" t="s">
        <v>14</v>
      </c>
      <c r="D132" s="2" t="s">
        <v>24</v>
      </c>
      <c r="E132" s="2" t="s">
        <v>20</v>
      </c>
      <c r="F132" s="2" t="s">
        <v>21</v>
      </c>
      <c r="G132" s="2">
        <v>27</v>
      </c>
      <c r="H132" s="4">
        <v>100</v>
      </c>
      <c r="I132" s="4">
        <v>2700</v>
      </c>
      <c r="J132" s="2">
        <v>98</v>
      </c>
      <c r="K132" s="2">
        <v>5</v>
      </c>
      <c r="L132" s="2">
        <v>15</v>
      </c>
      <c r="M132" s="17" t="s">
        <v>22</v>
      </c>
    </row>
    <row r="133" spans="1:13" ht="14.4" customHeight="1" x14ac:dyDescent="0.3">
      <c r="A133" s="16" t="s">
        <v>162</v>
      </c>
      <c r="B133" s="3">
        <v>46084</v>
      </c>
      <c r="C133" s="2" t="s">
        <v>35</v>
      </c>
      <c r="D133" s="2" t="s">
        <v>15</v>
      </c>
      <c r="E133" s="2" t="s">
        <v>10</v>
      </c>
      <c r="F133" s="2" t="s">
        <v>17</v>
      </c>
      <c r="G133" s="2">
        <v>95</v>
      </c>
      <c r="H133" s="4">
        <v>100</v>
      </c>
      <c r="I133" s="4">
        <v>9500</v>
      </c>
      <c r="J133" s="2">
        <v>86</v>
      </c>
      <c r="K133" s="2">
        <v>4</v>
      </c>
      <c r="L133" s="2">
        <v>10</v>
      </c>
      <c r="M133" s="17" t="s">
        <v>22</v>
      </c>
    </row>
    <row r="134" spans="1:13" ht="14.4" customHeight="1" x14ac:dyDescent="0.3">
      <c r="A134" s="16" t="s">
        <v>163</v>
      </c>
      <c r="B134" s="3">
        <v>46055</v>
      </c>
      <c r="C134" s="2" t="s">
        <v>14</v>
      </c>
      <c r="D134" s="2" t="s">
        <v>19</v>
      </c>
      <c r="E134" s="2" t="s">
        <v>20</v>
      </c>
      <c r="F134" s="2" t="s">
        <v>21</v>
      </c>
      <c r="G134" s="2">
        <v>78</v>
      </c>
      <c r="H134" s="4">
        <v>100</v>
      </c>
      <c r="I134" s="4">
        <v>7800</v>
      </c>
      <c r="J134" s="2">
        <v>93</v>
      </c>
      <c r="K134" s="2">
        <v>5</v>
      </c>
      <c r="L134" s="2">
        <v>12</v>
      </c>
      <c r="M134" s="17" t="s">
        <v>22</v>
      </c>
    </row>
    <row r="135" spans="1:13" ht="14.4" customHeight="1" x14ac:dyDescent="0.3">
      <c r="A135" s="16" t="s">
        <v>164</v>
      </c>
      <c r="B135" s="3">
        <v>46093</v>
      </c>
      <c r="C135" s="2" t="s">
        <v>30</v>
      </c>
      <c r="D135" s="2" t="s">
        <v>15</v>
      </c>
      <c r="E135" s="2" t="s">
        <v>42</v>
      </c>
      <c r="F135" s="2" t="s">
        <v>17</v>
      </c>
      <c r="G135" s="2">
        <v>7</v>
      </c>
      <c r="H135" s="4">
        <v>20</v>
      </c>
      <c r="I135" s="4">
        <v>140</v>
      </c>
      <c r="J135" s="2">
        <v>74</v>
      </c>
      <c r="K135" s="2">
        <v>2</v>
      </c>
      <c r="L135" s="2">
        <v>7</v>
      </c>
      <c r="M135" s="17" t="s">
        <v>32</v>
      </c>
    </row>
    <row r="136" spans="1:13" ht="14.4" customHeight="1" x14ac:dyDescent="0.3">
      <c r="A136" s="16" t="s">
        <v>165</v>
      </c>
      <c r="B136" s="3">
        <v>46164</v>
      </c>
      <c r="C136" s="2" t="s">
        <v>27</v>
      </c>
      <c r="D136" s="2" t="s">
        <v>28</v>
      </c>
      <c r="E136" s="2" t="s">
        <v>42</v>
      </c>
      <c r="F136" s="2" t="s">
        <v>25</v>
      </c>
      <c r="G136" s="2">
        <v>4</v>
      </c>
      <c r="H136" s="4">
        <v>50</v>
      </c>
      <c r="I136" s="4">
        <v>200</v>
      </c>
      <c r="J136" s="2">
        <v>84</v>
      </c>
      <c r="K136" s="2">
        <v>5</v>
      </c>
      <c r="L136" s="2">
        <v>15</v>
      </c>
      <c r="M136" s="17" t="s">
        <v>22</v>
      </c>
    </row>
    <row r="137" spans="1:13" ht="14.4" customHeight="1" x14ac:dyDescent="0.3">
      <c r="A137" s="16" t="s">
        <v>166</v>
      </c>
      <c r="B137" s="3">
        <v>46094</v>
      </c>
      <c r="C137" s="2" t="s">
        <v>30</v>
      </c>
      <c r="D137" s="2" t="s">
        <v>28</v>
      </c>
      <c r="E137" s="2" t="s">
        <v>24</v>
      </c>
      <c r="F137" s="2" t="s">
        <v>11</v>
      </c>
      <c r="G137" s="2">
        <v>70</v>
      </c>
      <c r="H137" s="4">
        <v>5</v>
      </c>
      <c r="I137" s="4">
        <v>350</v>
      </c>
      <c r="J137" s="2">
        <v>72</v>
      </c>
      <c r="K137" s="2">
        <v>3</v>
      </c>
      <c r="L137" s="2">
        <v>19</v>
      </c>
      <c r="M137" s="17" t="s">
        <v>32</v>
      </c>
    </row>
    <row r="138" spans="1:13" ht="14.4" customHeight="1" x14ac:dyDescent="0.3">
      <c r="A138" s="16" t="s">
        <v>167</v>
      </c>
      <c r="B138" s="3">
        <v>46180</v>
      </c>
      <c r="C138" s="2" t="s">
        <v>27</v>
      </c>
      <c r="D138" s="2" t="s">
        <v>9</v>
      </c>
      <c r="E138" s="2" t="s">
        <v>16</v>
      </c>
      <c r="F138" s="2" t="s">
        <v>21</v>
      </c>
      <c r="G138" s="2">
        <v>32</v>
      </c>
      <c r="H138" s="4">
        <v>5</v>
      </c>
      <c r="I138" s="4">
        <v>160</v>
      </c>
      <c r="J138" s="2">
        <v>73</v>
      </c>
      <c r="K138" s="2">
        <v>5</v>
      </c>
      <c r="L138" s="2">
        <v>15</v>
      </c>
      <c r="M138" s="17" t="s">
        <v>22</v>
      </c>
    </row>
    <row r="139" spans="1:13" ht="14.4" customHeight="1" x14ac:dyDescent="0.3">
      <c r="A139" s="16" t="s">
        <v>168</v>
      </c>
      <c r="B139" s="3">
        <v>46154</v>
      </c>
      <c r="C139" s="2" t="s">
        <v>8</v>
      </c>
      <c r="D139" s="2" t="s">
        <v>24</v>
      </c>
      <c r="E139" s="2" t="s">
        <v>20</v>
      </c>
      <c r="F139" s="2" t="s">
        <v>11</v>
      </c>
      <c r="G139" s="2">
        <v>80</v>
      </c>
      <c r="H139" s="4">
        <v>100</v>
      </c>
      <c r="I139" s="4">
        <v>8000</v>
      </c>
      <c r="J139" s="2">
        <v>76</v>
      </c>
      <c r="K139" s="2">
        <v>4</v>
      </c>
      <c r="L139" s="2">
        <v>8</v>
      </c>
      <c r="M139" s="17" t="s">
        <v>22</v>
      </c>
    </row>
    <row r="140" spans="1:13" ht="14.4" customHeight="1" x14ac:dyDescent="0.3">
      <c r="A140" s="16" t="s">
        <v>169</v>
      </c>
      <c r="B140" s="3">
        <v>46190</v>
      </c>
      <c r="C140" s="2" t="s">
        <v>40</v>
      </c>
      <c r="D140" s="2" t="s">
        <v>9</v>
      </c>
      <c r="E140" s="2" t="s">
        <v>24</v>
      </c>
      <c r="F140" s="2" t="s">
        <v>11</v>
      </c>
      <c r="G140" s="2">
        <v>92</v>
      </c>
      <c r="H140" s="4">
        <v>20</v>
      </c>
      <c r="I140" s="4">
        <v>1840</v>
      </c>
      <c r="J140" s="2">
        <v>73</v>
      </c>
      <c r="K140" s="2">
        <v>5</v>
      </c>
      <c r="L140" s="2">
        <v>18</v>
      </c>
      <c r="M140" s="17" t="s">
        <v>22</v>
      </c>
    </row>
    <row r="141" spans="1:13" ht="14.4" customHeight="1" x14ac:dyDescent="0.3">
      <c r="A141" s="16" t="s">
        <v>170</v>
      </c>
      <c r="B141" s="3">
        <v>46084</v>
      </c>
      <c r="C141" s="2" t="s">
        <v>40</v>
      </c>
      <c r="D141" s="2" t="s">
        <v>28</v>
      </c>
      <c r="E141" s="2" t="s">
        <v>42</v>
      </c>
      <c r="F141" s="2" t="s">
        <v>11</v>
      </c>
      <c r="G141" s="2">
        <v>64</v>
      </c>
      <c r="H141" s="4">
        <v>50</v>
      </c>
      <c r="I141" s="4">
        <v>3200</v>
      </c>
      <c r="J141" s="2">
        <v>94</v>
      </c>
      <c r="K141" s="2">
        <v>4</v>
      </c>
      <c r="L141" s="2">
        <v>16</v>
      </c>
      <c r="M141" s="17" t="s">
        <v>22</v>
      </c>
    </row>
    <row r="142" spans="1:13" ht="14.4" customHeight="1" x14ac:dyDescent="0.3">
      <c r="A142" s="16" t="s">
        <v>171</v>
      </c>
      <c r="B142" s="3">
        <v>46127</v>
      </c>
      <c r="C142" s="2" t="s">
        <v>14</v>
      </c>
      <c r="D142" s="2" t="s">
        <v>9</v>
      </c>
      <c r="E142" s="2" t="s">
        <v>16</v>
      </c>
      <c r="F142" s="2" t="s">
        <v>11</v>
      </c>
      <c r="G142" s="2">
        <v>23</v>
      </c>
      <c r="H142" s="4">
        <v>20</v>
      </c>
      <c r="I142" s="4">
        <v>460</v>
      </c>
      <c r="J142" s="2">
        <v>94</v>
      </c>
      <c r="K142" s="2">
        <v>2</v>
      </c>
      <c r="L142" s="2">
        <v>12</v>
      </c>
      <c r="M142" s="17" t="s">
        <v>22</v>
      </c>
    </row>
    <row r="143" spans="1:13" ht="14.4" customHeight="1" x14ac:dyDescent="0.3">
      <c r="A143" s="16" t="s">
        <v>172</v>
      </c>
      <c r="B143" s="3">
        <v>46167</v>
      </c>
      <c r="C143" s="2" t="s">
        <v>35</v>
      </c>
      <c r="D143" s="2" t="s">
        <v>19</v>
      </c>
      <c r="E143" s="2" t="s">
        <v>24</v>
      </c>
      <c r="F143" s="2" t="s">
        <v>25</v>
      </c>
      <c r="G143" s="2">
        <v>27</v>
      </c>
      <c r="H143" s="4">
        <v>250</v>
      </c>
      <c r="I143" s="4">
        <v>6750</v>
      </c>
      <c r="J143" s="2">
        <v>94</v>
      </c>
      <c r="K143" s="2">
        <v>3</v>
      </c>
      <c r="L143" s="2">
        <v>18</v>
      </c>
      <c r="M143" s="17" t="s">
        <v>32</v>
      </c>
    </row>
    <row r="144" spans="1:13" ht="14.4" customHeight="1" x14ac:dyDescent="0.3">
      <c r="A144" s="16" t="s">
        <v>173</v>
      </c>
      <c r="B144" s="3">
        <v>46055</v>
      </c>
      <c r="C144" s="2" t="s">
        <v>8</v>
      </c>
      <c r="D144" s="2" t="s">
        <v>28</v>
      </c>
      <c r="E144" s="2" t="s">
        <v>16</v>
      </c>
      <c r="F144" s="2" t="s">
        <v>21</v>
      </c>
      <c r="G144" s="2">
        <v>3</v>
      </c>
      <c r="H144" s="4">
        <v>20</v>
      </c>
      <c r="I144" s="4">
        <v>60</v>
      </c>
      <c r="J144" s="2">
        <v>93</v>
      </c>
      <c r="K144" s="2">
        <v>5</v>
      </c>
      <c r="L144" s="2">
        <v>5</v>
      </c>
      <c r="M144" s="17" t="s">
        <v>22</v>
      </c>
    </row>
    <row r="145" spans="1:13" ht="14.4" customHeight="1" x14ac:dyDescent="0.3">
      <c r="A145" s="16" t="s">
        <v>174</v>
      </c>
      <c r="B145" s="3">
        <v>46127</v>
      </c>
      <c r="C145" s="2" t="s">
        <v>35</v>
      </c>
      <c r="D145" s="2" t="s">
        <v>28</v>
      </c>
      <c r="E145" s="2" t="s">
        <v>10</v>
      </c>
      <c r="F145" s="2" t="s">
        <v>17</v>
      </c>
      <c r="G145" s="2">
        <v>34</v>
      </c>
      <c r="H145" s="4">
        <v>10</v>
      </c>
      <c r="I145" s="4">
        <v>340</v>
      </c>
      <c r="J145" s="2">
        <v>78</v>
      </c>
      <c r="K145" s="2">
        <v>2</v>
      </c>
      <c r="L145" s="2">
        <v>9</v>
      </c>
      <c r="M145" s="17" t="s">
        <v>22</v>
      </c>
    </row>
    <row r="146" spans="1:13" ht="14.4" customHeight="1" x14ac:dyDescent="0.3">
      <c r="A146" s="16" t="s">
        <v>175</v>
      </c>
      <c r="B146" s="3">
        <v>46196</v>
      </c>
      <c r="C146" s="2" t="s">
        <v>30</v>
      </c>
      <c r="D146" s="2" t="s">
        <v>24</v>
      </c>
      <c r="E146" s="2" t="s">
        <v>24</v>
      </c>
      <c r="F146" s="2" t="s">
        <v>11</v>
      </c>
      <c r="G146" s="2">
        <v>69</v>
      </c>
      <c r="H146" s="4">
        <v>250</v>
      </c>
      <c r="I146" s="4">
        <v>17250</v>
      </c>
      <c r="J146" s="2">
        <v>74</v>
      </c>
      <c r="K146" s="2">
        <v>3</v>
      </c>
      <c r="L146" s="2">
        <v>16</v>
      </c>
      <c r="M146" s="17" t="s">
        <v>22</v>
      </c>
    </row>
    <row r="147" spans="1:13" ht="14.4" customHeight="1" x14ac:dyDescent="0.3">
      <c r="A147" s="16" t="s">
        <v>176</v>
      </c>
      <c r="B147" s="3">
        <v>46104</v>
      </c>
      <c r="C147" s="2" t="s">
        <v>30</v>
      </c>
      <c r="D147" s="2" t="s">
        <v>19</v>
      </c>
      <c r="E147" s="2" t="s">
        <v>16</v>
      </c>
      <c r="F147" s="2" t="s">
        <v>17</v>
      </c>
      <c r="G147" s="2">
        <v>30</v>
      </c>
      <c r="H147" s="4">
        <v>5</v>
      </c>
      <c r="I147" s="4">
        <v>150</v>
      </c>
      <c r="J147" s="2">
        <v>83</v>
      </c>
      <c r="K147" s="2">
        <v>2</v>
      </c>
      <c r="L147" s="2">
        <v>20</v>
      </c>
      <c r="M147" s="17" t="s">
        <v>22</v>
      </c>
    </row>
    <row r="148" spans="1:13" ht="14.4" customHeight="1" x14ac:dyDescent="0.3">
      <c r="A148" s="16" t="s">
        <v>177</v>
      </c>
      <c r="B148" s="3">
        <v>46147</v>
      </c>
      <c r="C148" s="2" t="s">
        <v>35</v>
      </c>
      <c r="D148" s="2" t="s">
        <v>28</v>
      </c>
      <c r="E148" s="2" t="s">
        <v>10</v>
      </c>
      <c r="F148" s="2" t="s">
        <v>25</v>
      </c>
      <c r="G148" s="2">
        <v>37</v>
      </c>
      <c r="H148" s="4">
        <v>5</v>
      </c>
      <c r="I148" s="4">
        <v>185</v>
      </c>
      <c r="J148" s="2">
        <v>73</v>
      </c>
      <c r="K148" s="2">
        <v>5</v>
      </c>
      <c r="L148" s="2">
        <v>11</v>
      </c>
      <c r="M148" s="17" t="s">
        <v>22</v>
      </c>
    </row>
    <row r="149" spans="1:13" ht="14.4" customHeight="1" x14ac:dyDescent="0.3">
      <c r="A149" s="16" t="s">
        <v>178</v>
      </c>
      <c r="B149" s="3">
        <v>46174</v>
      </c>
      <c r="C149" s="2" t="s">
        <v>8</v>
      </c>
      <c r="D149" s="2" t="s">
        <v>28</v>
      </c>
      <c r="E149" s="2" t="s">
        <v>16</v>
      </c>
      <c r="F149" s="2" t="s">
        <v>31</v>
      </c>
      <c r="G149" s="2">
        <v>94</v>
      </c>
      <c r="H149" s="4">
        <v>20</v>
      </c>
      <c r="I149" s="4">
        <v>1880</v>
      </c>
      <c r="J149" s="2">
        <v>86</v>
      </c>
      <c r="K149" s="2">
        <v>2</v>
      </c>
      <c r="L149" s="2">
        <v>5</v>
      </c>
      <c r="M149" s="17" t="s">
        <v>22</v>
      </c>
    </row>
    <row r="150" spans="1:13" ht="14.4" customHeight="1" x14ac:dyDescent="0.3">
      <c r="A150" s="16" t="s">
        <v>179</v>
      </c>
      <c r="B150" s="3">
        <v>46075</v>
      </c>
      <c r="C150" s="2" t="s">
        <v>8</v>
      </c>
      <c r="D150" s="2" t="s">
        <v>9</v>
      </c>
      <c r="E150" s="2" t="s">
        <v>10</v>
      </c>
      <c r="F150" s="2" t="s">
        <v>17</v>
      </c>
      <c r="G150" s="2">
        <v>97</v>
      </c>
      <c r="H150" s="4">
        <v>5</v>
      </c>
      <c r="I150" s="4">
        <v>485</v>
      </c>
      <c r="J150" s="2">
        <v>77</v>
      </c>
      <c r="K150" s="2">
        <v>2</v>
      </c>
      <c r="L150" s="2">
        <v>7</v>
      </c>
      <c r="M150" s="17" t="s">
        <v>22</v>
      </c>
    </row>
    <row r="151" spans="1:13" ht="14.4" customHeight="1" x14ac:dyDescent="0.3">
      <c r="A151" s="16" t="s">
        <v>180</v>
      </c>
      <c r="B151" s="3">
        <v>46129</v>
      </c>
      <c r="C151" s="2" t="s">
        <v>30</v>
      </c>
      <c r="D151" s="2" t="s">
        <v>24</v>
      </c>
      <c r="E151" s="2" t="s">
        <v>42</v>
      </c>
      <c r="F151" s="2" t="s">
        <v>17</v>
      </c>
      <c r="G151" s="2">
        <v>18</v>
      </c>
      <c r="H151" s="4">
        <v>250</v>
      </c>
      <c r="I151" s="4">
        <v>4500</v>
      </c>
      <c r="J151" s="2">
        <v>87</v>
      </c>
      <c r="K151" s="2">
        <v>2</v>
      </c>
      <c r="L151" s="2">
        <v>18</v>
      </c>
      <c r="M151" s="17" t="s">
        <v>22</v>
      </c>
    </row>
    <row r="152" spans="1:13" x14ac:dyDescent="0.3">
      <c r="A152" s="16" t="s">
        <v>181</v>
      </c>
      <c r="B152" s="3">
        <v>46133</v>
      </c>
      <c r="C152" s="2" t="s">
        <v>27</v>
      </c>
      <c r="D152" s="2" t="s">
        <v>9</v>
      </c>
      <c r="E152" s="2" t="s">
        <v>10</v>
      </c>
      <c r="F152" s="2" t="s">
        <v>31</v>
      </c>
      <c r="G152" s="2">
        <v>80</v>
      </c>
      <c r="H152" s="4">
        <v>10</v>
      </c>
      <c r="I152" s="4">
        <v>800</v>
      </c>
      <c r="J152" s="2">
        <v>98</v>
      </c>
      <c r="K152" s="2">
        <v>5</v>
      </c>
      <c r="L152" s="2">
        <v>4</v>
      </c>
      <c r="M152" s="17" t="s">
        <v>32</v>
      </c>
    </row>
    <row r="153" spans="1:13" x14ac:dyDescent="0.3">
      <c r="A153" s="16" t="s">
        <v>182</v>
      </c>
      <c r="B153" s="3">
        <v>46045</v>
      </c>
      <c r="C153" s="2" t="s">
        <v>8</v>
      </c>
      <c r="D153" s="2" t="s">
        <v>19</v>
      </c>
      <c r="E153" s="2" t="s">
        <v>42</v>
      </c>
      <c r="F153" s="2" t="s">
        <v>25</v>
      </c>
      <c r="G153" s="2">
        <v>76</v>
      </c>
      <c r="H153" s="4">
        <v>250</v>
      </c>
      <c r="I153" s="4">
        <v>19000</v>
      </c>
      <c r="J153" s="2">
        <v>93</v>
      </c>
      <c r="K153" s="2">
        <v>4</v>
      </c>
      <c r="L153" s="2">
        <v>16</v>
      </c>
      <c r="M153" s="17" t="s">
        <v>22</v>
      </c>
    </row>
    <row r="154" spans="1:13" x14ac:dyDescent="0.3">
      <c r="A154" s="16" t="s">
        <v>183</v>
      </c>
      <c r="B154" s="3">
        <v>46086</v>
      </c>
      <c r="C154" s="2" t="s">
        <v>27</v>
      </c>
      <c r="D154" s="2" t="s">
        <v>9</v>
      </c>
      <c r="E154" s="2" t="s">
        <v>42</v>
      </c>
      <c r="F154" s="2" t="s">
        <v>11</v>
      </c>
      <c r="G154" s="2">
        <v>59</v>
      </c>
      <c r="H154" s="4">
        <v>10</v>
      </c>
      <c r="I154" s="4">
        <v>590</v>
      </c>
      <c r="J154" s="2">
        <v>79</v>
      </c>
      <c r="K154" s="2">
        <v>4</v>
      </c>
      <c r="L154" s="2">
        <v>15</v>
      </c>
      <c r="M154" s="17" t="s">
        <v>22</v>
      </c>
    </row>
    <row r="155" spans="1:13" x14ac:dyDescent="0.3">
      <c r="A155" s="16" t="s">
        <v>184</v>
      </c>
      <c r="B155" s="3">
        <v>46070</v>
      </c>
      <c r="C155" s="2" t="s">
        <v>27</v>
      </c>
      <c r="D155" s="2" t="s">
        <v>15</v>
      </c>
      <c r="E155" s="2" t="s">
        <v>42</v>
      </c>
      <c r="F155" s="2" t="s">
        <v>11</v>
      </c>
      <c r="G155" s="2">
        <v>83</v>
      </c>
      <c r="H155" s="4">
        <v>250</v>
      </c>
      <c r="I155" s="4">
        <v>20750</v>
      </c>
      <c r="J155" s="2">
        <v>76</v>
      </c>
      <c r="K155" s="2">
        <v>2</v>
      </c>
      <c r="L155" s="2">
        <v>3</v>
      </c>
      <c r="M155" s="17" t="s">
        <v>32</v>
      </c>
    </row>
    <row r="156" spans="1:13" x14ac:dyDescent="0.3">
      <c r="A156" s="16" t="s">
        <v>185</v>
      </c>
      <c r="B156" s="3">
        <v>46031</v>
      </c>
      <c r="C156" s="2" t="s">
        <v>30</v>
      </c>
      <c r="D156" s="2" t="s">
        <v>19</v>
      </c>
      <c r="E156" s="2" t="s">
        <v>20</v>
      </c>
      <c r="F156" s="2" t="s">
        <v>25</v>
      </c>
      <c r="G156" s="2">
        <v>98</v>
      </c>
      <c r="H156" s="4">
        <v>100</v>
      </c>
      <c r="I156" s="4">
        <v>9800</v>
      </c>
      <c r="J156" s="2">
        <v>84</v>
      </c>
      <c r="K156" s="2">
        <v>3</v>
      </c>
      <c r="L156" s="2">
        <v>13</v>
      </c>
      <c r="M156" s="17" t="s">
        <v>32</v>
      </c>
    </row>
    <row r="157" spans="1:13" x14ac:dyDescent="0.3">
      <c r="A157" s="16" t="s">
        <v>186</v>
      </c>
      <c r="B157" s="3">
        <v>46042</v>
      </c>
      <c r="C157" s="2" t="s">
        <v>35</v>
      </c>
      <c r="D157" s="2" t="s">
        <v>28</v>
      </c>
      <c r="E157" s="2" t="s">
        <v>10</v>
      </c>
      <c r="F157" s="2" t="s">
        <v>31</v>
      </c>
      <c r="G157" s="2">
        <v>26</v>
      </c>
      <c r="H157" s="4">
        <v>5</v>
      </c>
      <c r="I157" s="4">
        <v>130</v>
      </c>
      <c r="J157" s="2">
        <v>83</v>
      </c>
      <c r="K157" s="2">
        <v>2</v>
      </c>
      <c r="L157" s="2">
        <v>17</v>
      </c>
      <c r="M157" s="17" t="s">
        <v>22</v>
      </c>
    </row>
    <row r="158" spans="1:13" x14ac:dyDescent="0.3">
      <c r="A158" s="16" t="s">
        <v>187</v>
      </c>
      <c r="B158" s="3">
        <v>46198</v>
      </c>
      <c r="C158" s="2" t="s">
        <v>35</v>
      </c>
      <c r="D158" s="2" t="s">
        <v>24</v>
      </c>
      <c r="E158" s="2" t="s">
        <v>10</v>
      </c>
      <c r="F158" s="2" t="s">
        <v>25</v>
      </c>
      <c r="G158" s="2">
        <v>46</v>
      </c>
      <c r="H158" s="4">
        <v>10</v>
      </c>
      <c r="I158" s="4">
        <v>460</v>
      </c>
      <c r="J158" s="2">
        <v>99</v>
      </c>
      <c r="K158" s="2">
        <v>3</v>
      </c>
      <c r="L158" s="2">
        <v>16</v>
      </c>
      <c r="M158" s="17" t="s">
        <v>22</v>
      </c>
    </row>
    <row r="159" spans="1:13" x14ac:dyDescent="0.3">
      <c r="A159" s="16" t="s">
        <v>188</v>
      </c>
      <c r="B159" s="3">
        <v>46046</v>
      </c>
      <c r="C159" s="2" t="s">
        <v>30</v>
      </c>
      <c r="D159" s="2" t="s">
        <v>19</v>
      </c>
      <c r="E159" s="2" t="s">
        <v>24</v>
      </c>
      <c r="F159" s="2" t="s">
        <v>11</v>
      </c>
      <c r="G159" s="2">
        <v>88</v>
      </c>
      <c r="H159" s="4">
        <v>10</v>
      </c>
      <c r="I159" s="4">
        <v>880</v>
      </c>
      <c r="J159" s="2">
        <v>80</v>
      </c>
      <c r="K159" s="2">
        <v>4</v>
      </c>
      <c r="L159" s="2">
        <v>6</v>
      </c>
      <c r="M159" s="17" t="s">
        <v>32</v>
      </c>
    </row>
    <row r="160" spans="1:13" x14ac:dyDescent="0.3">
      <c r="A160" s="16" t="s">
        <v>189</v>
      </c>
      <c r="B160" s="3">
        <v>46158</v>
      </c>
      <c r="C160" s="2" t="s">
        <v>27</v>
      </c>
      <c r="D160" s="2" t="s">
        <v>24</v>
      </c>
      <c r="E160" s="2" t="s">
        <v>16</v>
      </c>
      <c r="F160" s="2" t="s">
        <v>25</v>
      </c>
      <c r="G160" s="2">
        <v>38</v>
      </c>
      <c r="H160" s="4">
        <v>100</v>
      </c>
      <c r="I160" s="4">
        <v>3800</v>
      </c>
      <c r="J160" s="2">
        <v>73</v>
      </c>
      <c r="K160" s="2">
        <v>3</v>
      </c>
      <c r="L160" s="2">
        <v>20</v>
      </c>
      <c r="M160" s="17" t="s">
        <v>32</v>
      </c>
    </row>
    <row r="161" spans="1:13" x14ac:dyDescent="0.3">
      <c r="A161" s="16" t="s">
        <v>190</v>
      </c>
      <c r="B161" s="3">
        <v>46084</v>
      </c>
      <c r="C161" s="2" t="s">
        <v>30</v>
      </c>
      <c r="D161" s="2" t="s">
        <v>15</v>
      </c>
      <c r="E161" s="2" t="s">
        <v>24</v>
      </c>
      <c r="F161" s="2" t="s">
        <v>25</v>
      </c>
      <c r="G161" s="2">
        <v>1</v>
      </c>
      <c r="H161" s="4">
        <v>5</v>
      </c>
      <c r="I161" s="4">
        <v>5</v>
      </c>
      <c r="J161" s="2">
        <v>81</v>
      </c>
      <c r="K161" s="2">
        <v>3</v>
      </c>
      <c r="L161" s="2">
        <v>4</v>
      </c>
      <c r="M161" s="17" t="s">
        <v>32</v>
      </c>
    </row>
    <row r="162" spans="1:13" x14ac:dyDescent="0.3">
      <c r="A162" s="16" t="s">
        <v>191</v>
      </c>
      <c r="B162" s="3">
        <v>46092</v>
      </c>
      <c r="C162" s="2" t="s">
        <v>14</v>
      </c>
      <c r="D162" s="2" t="s">
        <v>24</v>
      </c>
      <c r="E162" s="2" t="s">
        <v>20</v>
      </c>
      <c r="F162" s="2" t="s">
        <v>31</v>
      </c>
      <c r="G162" s="2">
        <v>9</v>
      </c>
      <c r="H162" s="4">
        <v>5</v>
      </c>
      <c r="I162" s="4">
        <v>45</v>
      </c>
      <c r="J162" s="2">
        <v>92</v>
      </c>
      <c r="K162" s="2">
        <v>2</v>
      </c>
      <c r="L162" s="2">
        <v>10</v>
      </c>
      <c r="M162" s="17" t="s">
        <v>22</v>
      </c>
    </row>
    <row r="163" spans="1:13" x14ac:dyDescent="0.3">
      <c r="A163" s="16" t="s">
        <v>192</v>
      </c>
      <c r="B163" s="3">
        <v>46153</v>
      </c>
      <c r="C163" s="2" t="s">
        <v>40</v>
      </c>
      <c r="D163" s="2" t="s">
        <v>15</v>
      </c>
      <c r="E163" s="2" t="s">
        <v>20</v>
      </c>
      <c r="F163" s="2" t="s">
        <v>25</v>
      </c>
      <c r="G163" s="2">
        <v>97</v>
      </c>
      <c r="H163" s="4">
        <v>10</v>
      </c>
      <c r="I163" s="4">
        <v>970</v>
      </c>
      <c r="J163" s="2">
        <v>75</v>
      </c>
      <c r="K163" s="2">
        <v>4</v>
      </c>
      <c r="L163" s="2">
        <v>7</v>
      </c>
      <c r="M163" s="17" t="s">
        <v>22</v>
      </c>
    </row>
    <row r="164" spans="1:13" x14ac:dyDescent="0.3">
      <c r="A164" s="16" t="s">
        <v>193</v>
      </c>
      <c r="B164" s="3">
        <v>46030</v>
      </c>
      <c r="C164" s="2" t="s">
        <v>8</v>
      </c>
      <c r="D164" s="2" t="s">
        <v>28</v>
      </c>
      <c r="E164" s="2" t="s">
        <v>42</v>
      </c>
      <c r="F164" s="2" t="s">
        <v>21</v>
      </c>
      <c r="G164" s="2">
        <v>2</v>
      </c>
      <c r="H164" s="4">
        <v>50</v>
      </c>
      <c r="I164" s="4">
        <v>100</v>
      </c>
      <c r="J164" s="2">
        <v>91</v>
      </c>
      <c r="K164" s="2">
        <v>5</v>
      </c>
      <c r="L164" s="2">
        <v>19</v>
      </c>
      <c r="M164" s="17" t="s">
        <v>12</v>
      </c>
    </row>
    <row r="165" spans="1:13" x14ac:dyDescent="0.3">
      <c r="A165" s="16" t="s">
        <v>194</v>
      </c>
      <c r="B165" s="3">
        <v>46050</v>
      </c>
      <c r="C165" s="2" t="s">
        <v>40</v>
      </c>
      <c r="D165" s="2" t="s">
        <v>15</v>
      </c>
      <c r="E165" s="2" t="s">
        <v>24</v>
      </c>
      <c r="F165" s="2" t="s">
        <v>25</v>
      </c>
      <c r="G165" s="2">
        <v>72</v>
      </c>
      <c r="H165" s="4">
        <v>10</v>
      </c>
      <c r="I165" s="4">
        <v>720</v>
      </c>
      <c r="J165" s="2">
        <v>91</v>
      </c>
      <c r="K165" s="2">
        <v>4</v>
      </c>
      <c r="L165" s="2">
        <v>17</v>
      </c>
      <c r="M165" s="17" t="s">
        <v>32</v>
      </c>
    </row>
    <row r="166" spans="1:13" x14ac:dyDescent="0.3">
      <c r="A166" s="16" t="s">
        <v>195</v>
      </c>
      <c r="B166" s="3">
        <v>46100</v>
      </c>
      <c r="C166" s="2" t="s">
        <v>8</v>
      </c>
      <c r="D166" s="2" t="s">
        <v>28</v>
      </c>
      <c r="E166" s="2" t="s">
        <v>24</v>
      </c>
      <c r="F166" s="2" t="s">
        <v>21</v>
      </c>
      <c r="G166" s="2">
        <v>64</v>
      </c>
      <c r="H166" s="4">
        <v>50</v>
      </c>
      <c r="I166" s="4">
        <v>3200</v>
      </c>
      <c r="J166" s="2">
        <v>80</v>
      </c>
      <c r="K166" s="2">
        <v>4</v>
      </c>
      <c r="L166" s="2">
        <v>2</v>
      </c>
      <c r="M166" s="17" t="s">
        <v>22</v>
      </c>
    </row>
    <row r="167" spans="1:13" x14ac:dyDescent="0.3">
      <c r="A167" s="16" t="s">
        <v>196</v>
      </c>
      <c r="B167" s="3">
        <v>46065</v>
      </c>
      <c r="C167" s="2" t="s">
        <v>35</v>
      </c>
      <c r="D167" s="2" t="s">
        <v>15</v>
      </c>
      <c r="E167" s="2" t="s">
        <v>10</v>
      </c>
      <c r="F167" s="2" t="s">
        <v>17</v>
      </c>
      <c r="G167" s="2">
        <v>51</v>
      </c>
      <c r="H167" s="4">
        <v>100</v>
      </c>
      <c r="I167" s="4">
        <v>5100</v>
      </c>
      <c r="J167" s="2">
        <v>82</v>
      </c>
      <c r="K167" s="2">
        <v>3</v>
      </c>
      <c r="L167" s="2">
        <v>12</v>
      </c>
      <c r="M167" s="17" t="s">
        <v>22</v>
      </c>
    </row>
    <row r="168" spans="1:13" x14ac:dyDescent="0.3">
      <c r="A168" s="16" t="s">
        <v>197</v>
      </c>
      <c r="B168" s="3">
        <v>46067</v>
      </c>
      <c r="C168" s="2" t="s">
        <v>30</v>
      </c>
      <c r="D168" s="2" t="s">
        <v>28</v>
      </c>
      <c r="E168" s="2" t="s">
        <v>16</v>
      </c>
      <c r="F168" s="2" t="s">
        <v>31</v>
      </c>
      <c r="G168" s="2">
        <v>40</v>
      </c>
      <c r="H168" s="4">
        <v>20</v>
      </c>
      <c r="I168" s="4">
        <v>800</v>
      </c>
      <c r="J168" s="2">
        <v>97</v>
      </c>
      <c r="K168" s="2">
        <v>3</v>
      </c>
      <c r="L168" s="2">
        <v>9</v>
      </c>
      <c r="M168" s="17" t="s">
        <v>22</v>
      </c>
    </row>
    <row r="169" spans="1:13" x14ac:dyDescent="0.3">
      <c r="A169" s="16" t="s">
        <v>198</v>
      </c>
      <c r="B169" s="3">
        <v>46181</v>
      </c>
      <c r="C169" s="2" t="s">
        <v>14</v>
      </c>
      <c r="D169" s="2" t="s">
        <v>24</v>
      </c>
      <c r="E169" s="2" t="s">
        <v>24</v>
      </c>
      <c r="F169" s="2" t="s">
        <v>21</v>
      </c>
      <c r="G169" s="2">
        <v>49</v>
      </c>
      <c r="H169" s="4">
        <v>250</v>
      </c>
      <c r="I169" s="4">
        <v>12250</v>
      </c>
      <c r="J169" s="2">
        <v>95</v>
      </c>
      <c r="K169" s="2">
        <v>2</v>
      </c>
      <c r="L169" s="2">
        <v>13</v>
      </c>
      <c r="M169" s="17" t="s">
        <v>32</v>
      </c>
    </row>
    <row r="170" spans="1:13" x14ac:dyDescent="0.3">
      <c r="A170" s="16" t="s">
        <v>199</v>
      </c>
      <c r="B170" s="3">
        <v>46127</v>
      </c>
      <c r="C170" s="2" t="s">
        <v>8</v>
      </c>
      <c r="D170" s="2" t="s">
        <v>19</v>
      </c>
      <c r="E170" s="2" t="s">
        <v>20</v>
      </c>
      <c r="F170" s="2" t="s">
        <v>25</v>
      </c>
      <c r="G170" s="2">
        <v>95</v>
      </c>
      <c r="H170" s="4">
        <v>250</v>
      </c>
      <c r="I170" s="4">
        <v>23750</v>
      </c>
      <c r="J170" s="2">
        <v>74</v>
      </c>
      <c r="K170" s="2">
        <v>4</v>
      </c>
      <c r="L170" s="2">
        <v>5</v>
      </c>
      <c r="M170" s="17" t="s">
        <v>22</v>
      </c>
    </row>
    <row r="171" spans="1:13" x14ac:dyDescent="0.3">
      <c r="A171" s="16" t="s">
        <v>200</v>
      </c>
      <c r="B171" s="3">
        <v>46032</v>
      </c>
      <c r="C171" s="2" t="s">
        <v>30</v>
      </c>
      <c r="D171" s="2" t="s">
        <v>24</v>
      </c>
      <c r="E171" s="2" t="s">
        <v>16</v>
      </c>
      <c r="F171" s="2" t="s">
        <v>21</v>
      </c>
      <c r="G171" s="2">
        <v>78</v>
      </c>
      <c r="H171" s="4">
        <v>250</v>
      </c>
      <c r="I171" s="4">
        <v>19500</v>
      </c>
      <c r="J171" s="2">
        <v>79</v>
      </c>
      <c r="K171" s="2">
        <v>3</v>
      </c>
      <c r="L171" s="2">
        <v>13</v>
      </c>
      <c r="M171" s="17" t="s">
        <v>12</v>
      </c>
    </row>
    <row r="172" spans="1:13" x14ac:dyDescent="0.3">
      <c r="A172" s="16" t="s">
        <v>201</v>
      </c>
      <c r="B172" s="3">
        <v>46037</v>
      </c>
      <c r="C172" s="2" t="s">
        <v>14</v>
      </c>
      <c r="D172" s="2" t="s">
        <v>9</v>
      </c>
      <c r="E172" s="2" t="s">
        <v>42</v>
      </c>
      <c r="F172" s="2" t="s">
        <v>21</v>
      </c>
      <c r="G172" s="2">
        <v>53</v>
      </c>
      <c r="H172" s="4">
        <v>50</v>
      </c>
      <c r="I172" s="4">
        <v>2650</v>
      </c>
      <c r="J172" s="2">
        <v>98</v>
      </c>
      <c r="K172" s="2">
        <v>4</v>
      </c>
      <c r="L172" s="2">
        <v>7</v>
      </c>
      <c r="M172" s="17" t="s">
        <v>32</v>
      </c>
    </row>
    <row r="173" spans="1:13" x14ac:dyDescent="0.3">
      <c r="A173" s="16" t="s">
        <v>202</v>
      </c>
      <c r="B173" s="3">
        <v>46084</v>
      </c>
      <c r="C173" s="2" t="s">
        <v>35</v>
      </c>
      <c r="D173" s="2" t="s">
        <v>28</v>
      </c>
      <c r="E173" s="2" t="s">
        <v>24</v>
      </c>
      <c r="F173" s="2" t="s">
        <v>21</v>
      </c>
      <c r="G173" s="2">
        <v>61</v>
      </c>
      <c r="H173" s="4">
        <v>100</v>
      </c>
      <c r="I173" s="4">
        <v>6100</v>
      </c>
      <c r="J173" s="2">
        <v>90</v>
      </c>
      <c r="K173" s="2">
        <v>5</v>
      </c>
      <c r="L173" s="2">
        <v>18</v>
      </c>
      <c r="M173" s="17" t="s">
        <v>22</v>
      </c>
    </row>
    <row r="174" spans="1:13" x14ac:dyDescent="0.3">
      <c r="A174" s="16" t="s">
        <v>203</v>
      </c>
      <c r="B174" s="3">
        <v>46133</v>
      </c>
      <c r="C174" s="2" t="s">
        <v>8</v>
      </c>
      <c r="D174" s="2" t="s">
        <v>28</v>
      </c>
      <c r="E174" s="2" t="s">
        <v>42</v>
      </c>
      <c r="F174" s="2" t="s">
        <v>11</v>
      </c>
      <c r="G174" s="2">
        <v>33</v>
      </c>
      <c r="H174" s="4">
        <v>10</v>
      </c>
      <c r="I174" s="4">
        <v>330</v>
      </c>
      <c r="J174" s="2">
        <v>85</v>
      </c>
      <c r="K174" s="2">
        <v>3</v>
      </c>
      <c r="L174" s="2">
        <v>19</v>
      </c>
      <c r="M174" s="17" t="s">
        <v>22</v>
      </c>
    </row>
    <row r="175" spans="1:13" x14ac:dyDescent="0.3">
      <c r="A175" s="16" t="s">
        <v>204</v>
      </c>
      <c r="B175" s="3">
        <v>46120</v>
      </c>
      <c r="C175" s="2" t="s">
        <v>40</v>
      </c>
      <c r="D175" s="2" t="s">
        <v>9</v>
      </c>
      <c r="E175" s="2" t="s">
        <v>16</v>
      </c>
      <c r="F175" s="2" t="s">
        <v>25</v>
      </c>
      <c r="G175" s="2">
        <v>28</v>
      </c>
      <c r="H175" s="4">
        <v>10</v>
      </c>
      <c r="I175" s="4">
        <v>280</v>
      </c>
      <c r="J175" s="2">
        <v>73</v>
      </c>
      <c r="K175" s="2">
        <v>4</v>
      </c>
      <c r="L175" s="2">
        <v>20</v>
      </c>
      <c r="M175" s="17" t="s">
        <v>22</v>
      </c>
    </row>
    <row r="176" spans="1:13" x14ac:dyDescent="0.3">
      <c r="A176" s="16" t="s">
        <v>205</v>
      </c>
      <c r="B176" s="3">
        <v>46185</v>
      </c>
      <c r="C176" s="2" t="s">
        <v>27</v>
      </c>
      <c r="D176" s="2" t="s">
        <v>19</v>
      </c>
      <c r="E176" s="2" t="s">
        <v>24</v>
      </c>
      <c r="F176" s="2" t="s">
        <v>31</v>
      </c>
      <c r="G176" s="2">
        <v>72</v>
      </c>
      <c r="H176" s="4">
        <v>100</v>
      </c>
      <c r="I176" s="4">
        <v>7200</v>
      </c>
      <c r="J176" s="2">
        <v>87</v>
      </c>
      <c r="K176" s="2">
        <v>5</v>
      </c>
      <c r="L176" s="2">
        <v>6</v>
      </c>
      <c r="M176" s="17" t="s">
        <v>22</v>
      </c>
    </row>
    <row r="177" spans="1:17" x14ac:dyDescent="0.3">
      <c r="A177" s="16" t="s">
        <v>206</v>
      </c>
      <c r="B177" s="3">
        <v>46118</v>
      </c>
      <c r="C177" s="2" t="s">
        <v>35</v>
      </c>
      <c r="D177" s="2" t="s">
        <v>24</v>
      </c>
      <c r="E177" s="2" t="s">
        <v>20</v>
      </c>
      <c r="F177" s="2" t="s">
        <v>25</v>
      </c>
      <c r="G177" s="2">
        <v>40</v>
      </c>
      <c r="H177" s="4">
        <v>250</v>
      </c>
      <c r="I177" s="4">
        <v>10000</v>
      </c>
      <c r="J177" s="2">
        <v>87</v>
      </c>
      <c r="K177" s="2">
        <v>3</v>
      </c>
      <c r="L177" s="2">
        <v>7</v>
      </c>
      <c r="M177" s="17" t="s">
        <v>22</v>
      </c>
    </row>
    <row r="178" spans="1:17" x14ac:dyDescent="0.3">
      <c r="A178" s="16" t="s">
        <v>207</v>
      </c>
      <c r="B178" s="3">
        <v>46088</v>
      </c>
      <c r="C178" s="2" t="s">
        <v>35</v>
      </c>
      <c r="D178" s="2" t="s">
        <v>24</v>
      </c>
      <c r="E178" s="2" t="s">
        <v>10</v>
      </c>
      <c r="F178" s="2" t="s">
        <v>11</v>
      </c>
      <c r="G178" s="2">
        <v>63</v>
      </c>
      <c r="H178" s="4">
        <v>10</v>
      </c>
      <c r="I178" s="4">
        <v>630</v>
      </c>
      <c r="J178" s="2">
        <v>91</v>
      </c>
      <c r="K178" s="2">
        <v>5</v>
      </c>
      <c r="L178" s="2">
        <v>14</v>
      </c>
      <c r="M178" s="17" t="s">
        <v>22</v>
      </c>
    </row>
    <row r="179" spans="1:17" x14ac:dyDescent="0.3">
      <c r="A179" s="16" t="s">
        <v>208</v>
      </c>
      <c r="B179" s="3">
        <v>46168</v>
      </c>
      <c r="C179" s="2" t="s">
        <v>14</v>
      </c>
      <c r="D179" s="2" t="s">
        <v>28</v>
      </c>
      <c r="E179" s="2" t="s">
        <v>16</v>
      </c>
      <c r="F179" s="2" t="s">
        <v>21</v>
      </c>
      <c r="G179" s="2">
        <v>30</v>
      </c>
      <c r="H179" s="4">
        <v>100</v>
      </c>
      <c r="I179" s="4">
        <v>3000</v>
      </c>
      <c r="J179" s="2">
        <v>87</v>
      </c>
      <c r="K179" s="2">
        <v>2</v>
      </c>
      <c r="L179" s="2">
        <v>18</v>
      </c>
      <c r="M179" s="17" t="s">
        <v>22</v>
      </c>
    </row>
    <row r="180" spans="1:17" x14ac:dyDescent="0.3">
      <c r="A180" s="16" t="s">
        <v>209</v>
      </c>
      <c r="B180" s="3">
        <v>46029</v>
      </c>
      <c r="C180" s="2" t="s">
        <v>40</v>
      </c>
      <c r="D180" s="2" t="s">
        <v>15</v>
      </c>
      <c r="E180" s="2" t="s">
        <v>10</v>
      </c>
      <c r="F180" s="2" t="s">
        <v>17</v>
      </c>
      <c r="G180" s="2">
        <v>71</v>
      </c>
      <c r="H180" s="4">
        <v>10</v>
      </c>
      <c r="I180" s="4">
        <v>710</v>
      </c>
      <c r="J180" s="2">
        <v>70</v>
      </c>
      <c r="K180" s="2">
        <v>2</v>
      </c>
      <c r="L180" s="2">
        <v>5</v>
      </c>
      <c r="M180" s="17" t="s">
        <v>22</v>
      </c>
    </row>
    <row r="181" spans="1:17" x14ac:dyDescent="0.3">
      <c r="A181" s="16" t="s">
        <v>210</v>
      </c>
      <c r="B181" s="3">
        <v>46028</v>
      </c>
      <c r="C181" s="2" t="s">
        <v>30</v>
      </c>
      <c r="D181" s="2" t="s">
        <v>19</v>
      </c>
      <c r="E181" s="2" t="s">
        <v>24</v>
      </c>
      <c r="F181" s="2" t="s">
        <v>25</v>
      </c>
      <c r="G181" s="2">
        <v>24</v>
      </c>
      <c r="H181" s="4">
        <v>100</v>
      </c>
      <c r="I181" s="4">
        <v>2400</v>
      </c>
      <c r="J181" s="2">
        <v>98</v>
      </c>
      <c r="K181" s="2">
        <v>3</v>
      </c>
      <c r="L181" s="2">
        <v>6</v>
      </c>
      <c r="M181" s="17" t="s">
        <v>22</v>
      </c>
    </row>
    <row r="182" spans="1:17" x14ac:dyDescent="0.3">
      <c r="A182" s="16" t="s">
        <v>211</v>
      </c>
      <c r="B182" s="3">
        <v>46039</v>
      </c>
      <c r="C182" s="2" t="s">
        <v>35</v>
      </c>
      <c r="D182" s="2" t="s">
        <v>28</v>
      </c>
      <c r="E182" s="2" t="s">
        <v>16</v>
      </c>
      <c r="F182" s="2" t="s">
        <v>25</v>
      </c>
      <c r="G182" s="2">
        <v>42</v>
      </c>
      <c r="H182" s="4">
        <v>20</v>
      </c>
      <c r="I182" s="4">
        <v>840</v>
      </c>
      <c r="J182" s="2">
        <v>90</v>
      </c>
      <c r="K182" s="2">
        <v>2</v>
      </c>
      <c r="L182" s="2">
        <v>6</v>
      </c>
      <c r="M182" s="17" t="s">
        <v>32</v>
      </c>
    </row>
    <row r="183" spans="1:17" x14ac:dyDescent="0.3">
      <c r="A183" s="16" t="s">
        <v>212</v>
      </c>
      <c r="B183" s="3">
        <v>46177</v>
      </c>
      <c r="C183" s="2" t="s">
        <v>8</v>
      </c>
      <c r="D183" s="2" t="s">
        <v>15</v>
      </c>
      <c r="E183" s="2" t="s">
        <v>20</v>
      </c>
      <c r="F183" s="2" t="s">
        <v>31</v>
      </c>
      <c r="G183" s="2">
        <v>54</v>
      </c>
      <c r="H183" s="4">
        <v>20</v>
      </c>
      <c r="I183" s="4">
        <v>1080</v>
      </c>
      <c r="J183" s="2">
        <v>77</v>
      </c>
      <c r="K183" s="2">
        <v>3</v>
      </c>
      <c r="L183" s="2">
        <v>6</v>
      </c>
      <c r="M183" s="17" t="s">
        <v>22</v>
      </c>
    </row>
    <row r="184" spans="1:17" x14ac:dyDescent="0.3">
      <c r="A184" s="16" t="s">
        <v>213</v>
      </c>
      <c r="B184" s="3">
        <v>46150</v>
      </c>
      <c r="C184" s="2" t="s">
        <v>30</v>
      </c>
      <c r="D184" s="2" t="s">
        <v>19</v>
      </c>
      <c r="E184" s="2" t="s">
        <v>16</v>
      </c>
      <c r="F184" s="2" t="s">
        <v>25</v>
      </c>
      <c r="G184" s="2">
        <v>41</v>
      </c>
      <c r="H184" s="4">
        <v>10</v>
      </c>
      <c r="I184" s="4">
        <v>410</v>
      </c>
      <c r="J184" s="2">
        <v>70</v>
      </c>
      <c r="K184" s="2">
        <v>4</v>
      </c>
      <c r="L184" s="2">
        <v>15</v>
      </c>
      <c r="M184" s="17" t="s">
        <v>22</v>
      </c>
    </row>
    <row r="185" spans="1:17" x14ac:dyDescent="0.3">
      <c r="A185" s="16" t="s">
        <v>214</v>
      </c>
      <c r="B185" s="3">
        <v>46135</v>
      </c>
      <c r="C185" s="2" t="s">
        <v>14</v>
      </c>
      <c r="D185" s="2" t="s">
        <v>15</v>
      </c>
      <c r="E185" s="2" t="s">
        <v>42</v>
      </c>
      <c r="F185" s="2" t="s">
        <v>17</v>
      </c>
      <c r="G185" s="2">
        <v>77</v>
      </c>
      <c r="H185" s="4">
        <v>250</v>
      </c>
      <c r="I185" s="4">
        <v>19250</v>
      </c>
      <c r="J185" s="2">
        <v>85</v>
      </c>
      <c r="K185" s="2">
        <v>3</v>
      </c>
      <c r="L185" s="2">
        <v>6</v>
      </c>
      <c r="M185" s="17" t="s">
        <v>22</v>
      </c>
    </row>
    <row r="186" spans="1:17" x14ac:dyDescent="0.3">
      <c r="A186" s="16" t="s">
        <v>215</v>
      </c>
      <c r="B186" s="3">
        <v>46159</v>
      </c>
      <c r="C186" s="2" t="s">
        <v>40</v>
      </c>
      <c r="D186" s="2" t="s">
        <v>19</v>
      </c>
      <c r="E186" s="2" t="s">
        <v>42</v>
      </c>
      <c r="F186" s="2" t="s">
        <v>25</v>
      </c>
      <c r="G186" s="2">
        <v>13</v>
      </c>
      <c r="H186" s="4">
        <v>250</v>
      </c>
      <c r="I186" s="4">
        <v>3250</v>
      </c>
      <c r="J186" s="2">
        <v>90</v>
      </c>
      <c r="K186" s="2">
        <v>4</v>
      </c>
      <c r="L186" s="2">
        <v>9</v>
      </c>
      <c r="M186" s="17" t="s">
        <v>22</v>
      </c>
    </row>
    <row r="187" spans="1:17" x14ac:dyDescent="0.3">
      <c r="A187" s="16" t="s">
        <v>216</v>
      </c>
      <c r="B187" s="3">
        <v>46069</v>
      </c>
      <c r="C187" s="2" t="s">
        <v>40</v>
      </c>
      <c r="D187" s="2" t="s">
        <v>9</v>
      </c>
      <c r="E187" s="2" t="s">
        <v>24</v>
      </c>
      <c r="F187" s="2" t="s">
        <v>17</v>
      </c>
      <c r="G187" s="2">
        <v>20</v>
      </c>
      <c r="H187" s="4">
        <v>50</v>
      </c>
      <c r="I187" s="4">
        <v>1000</v>
      </c>
      <c r="J187" s="2">
        <v>87</v>
      </c>
      <c r="K187" s="2">
        <v>4</v>
      </c>
      <c r="L187" s="2">
        <v>9</v>
      </c>
      <c r="M187" s="17" t="s">
        <v>22</v>
      </c>
    </row>
    <row r="188" spans="1:17" x14ac:dyDescent="0.3">
      <c r="A188" s="16" t="s">
        <v>217</v>
      </c>
      <c r="B188" s="3">
        <v>46169</v>
      </c>
      <c r="C188" s="2" t="s">
        <v>35</v>
      </c>
      <c r="D188" s="2" t="s">
        <v>24</v>
      </c>
      <c r="E188" s="2" t="s">
        <v>10</v>
      </c>
      <c r="F188" s="2" t="s">
        <v>21</v>
      </c>
      <c r="G188" s="2">
        <v>70</v>
      </c>
      <c r="H188" s="4">
        <v>20</v>
      </c>
      <c r="I188" s="4">
        <v>1400</v>
      </c>
      <c r="J188" s="2">
        <v>87</v>
      </c>
      <c r="K188" s="2">
        <v>2</v>
      </c>
      <c r="L188" s="2">
        <v>10</v>
      </c>
      <c r="M188" s="17" t="s">
        <v>22</v>
      </c>
    </row>
    <row r="189" spans="1:17" x14ac:dyDescent="0.3">
      <c r="A189" s="16" t="s">
        <v>218</v>
      </c>
      <c r="B189" s="3">
        <v>46076</v>
      </c>
      <c r="C189" s="2" t="s">
        <v>35</v>
      </c>
      <c r="D189" s="2" t="s">
        <v>19</v>
      </c>
      <c r="E189" s="2" t="s">
        <v>20</v>
      </c>
      <c r="F189" s="2" t="s">
        <v>11</v>
      </c>
      <c r="G189" s="2">
        <v>8</v>
      </c>
      <c r="H189" s="4">
        <v>10</v>
      </c>
      <c r="I189" s="4">
        <v>80</v>
      </c>
      <c r="J189" s="2">
        <v>89</v>
      </c>
      <c r="K189" s="2">
        <v>4</v>
      </c>
      <c r="L189" s="2">
        <v>6</v>
      </c>
      <c r="M189" s="17" t="s">
        <v>22</v>
      </c>
    </row>
    <row r="190" spans="1:17" x14ac:dyDescent="0.3">
      <c r="A190" s="16" t="s">
        <v>219</v>
      </c>
      <c r="B190" s="3">
        <v>46129</v>
      </c>
      <c r="C190" s="2" t="s">
        <v>35</v>
      </c>
      <c r="D190" s="2" t="s">
        <v>19</v>
      </c>
      <c r="E190" s="2" t="s">
        <v>24</v>
      </c>
      <c r="F190" s="2" t="s">
        <v>21</v>
      </c>
      <c r="G190" s="2">
        <v>25</v>
      </c>
      <c r="H190" s="4">
        <v>250</v>
      </c>
      <c r="I190" s="4">
        <v>6250</v>
      </c>
      <c r="J190" s="2">
        <v>94</v>
      </c>
      <c r="K190" s="2">
        <v>5</v>
      </c>
      <c r="L190" s="2">
        <v>11</v>
      </c>
      <c r="M190" s="17" t="s">
        <v>22</v>
      </c>
    </row>
    <row r="191" spans="1:17" x14ac:dyDescent="0.3">
      <c r="A191" s="16" t="s">
        <v>220</v>
      </c>
      <c r="B191" s="3">
        <v>46036</v>
      </c>
      <c r="C191" s="2" t="s">
        <v>27</v>
      </c>
      <c r="D191" s="2" t="s">
        <v>9</v>
      </c>
      <c r="E191" s="2" t="s">
        <v>16</v>
      </c>
      <c r="F191" s="2" t="s">
        <v>11</v>
      </c>
      <c r="G191" s="2">
        <v>50</v>
      </c>
      <c r="H191" s="4">
        <v>250</v>
      </c>
      <c r="I191" s="4">
        <v>12500</v>
      </c>
      <c r="J191" s="2">
        <v>72</v>
      </c>
      <c r="K191" s="2">
        <v>4</v>
      </c>
      <c r="L191" s="2">
        <v>10</v>
      </c>
      <c r="M191" s="17" t="s">
        <v>22</v>
      </c>
    </row>
    <row r="192" spans="1:17" ht="18" x14ac:dyDescent="0.35">
      <c r="A192" s="16" t="s">
        <v>221</v>
      </c>
      <c r="B192" s="3">
        <v>46070</v>
      </c>
      <c r="C192" s="2" t="s">
        <v>8</v>
      </c>
      <c r="D192" s="2" t="s">
        <v>19</v>
      </c>
      <c r="E192" s="2" t="s">
        <v>10</v>
      </c>
      <c r="F192" s="2" t="s">
        <v>21</v>
      </c>
      <c r="G192" s="2">
        <v>90</v>
      </c>
      <c r="H192" s="4">
        <v>250</v>
      </c>
      <c r="I192" s="4">
        <v>22500</v>
      </c>
      <c r="J192" s="2">
        <v>97</v>
      </c>
      <c r="K192" s="2">
        <v>4</v>
      </c>
      <c r="L192" s="2">
        <v>15</v>
      </c>
      <c r="M192" s="17" t="s">
        <v>22</v>
      </c>
      <c r="P192" s="113" t="s">
        <v>674</v>
      </c>
      <c r="Q192" s="113"/>
    </row>
    <row r="193" spans="1:37" x14ac:dyDescent="0.3">
      <c r="A193" s="16" t="s">
        <v>222</v>
      </c>
      <c r="B193" s="3">
        <v>46147</v>
      </c>
      <c r="C193" s="2" t="s">
        <v>30</v>
      </c>
      <c r="D193" s="2" t="s">
        <v>28</v>
      </c>
      <c r="E193" s="2" t="s">
        <v>24</v>
      </c>
      <c r="F193" s="2" t="s">
        <v>21</v>
      </c>
      <c r="G193" s="2">
        <v>46</v>
      </c>
      <c r="H193" s="4">
        <v>20</v>
      </c>
      <c r="I193" s="4">
        <v>920</v>
      </c>
      <c r="J193" s="2">
        <v>95</v>
      </c>
      <c r="K193" s="2">
        <v>5</v>
      </c>
      <c r="L193" s="2">
        <v>14</v>
      </c>
      <c r="M193" s="17" t="s">
        <v>22</v>
      </c>
    </row>
    <row r="194" spans="1:37" x14ac:dyDescent="0.3">
      <c r="A194" s="16" t="s">
        <v>223</v>
      </c>
      <c r="B194" s="3">
        <v>46024</v>
      </c>
      <c r="C194" s="2" t="s">
        <v>27</v>
      </c>
      <c r="D194" s="2" t="s">
        <v>15</v>
      </c>
      <c r="E194" s="2" t="s">
        <v>42</v>
      </c>
      <c r="F194" s="2" t="s">
        <v>31</v>
      </c>
      <c r="G194" s="2">
        <v>94</v>
      </c>
      <c r="H194" s="4">
        <v>100</v>
      </c>
      <c r="I194" s="4">
        <v>9400</v>
      </c>
      <c r="J194" s="2">
        <v>93</v>
      </c>
      <c r="K194" s="2">
        <v>2</v>
      </c>
      <c r="L194" s="2">
        <v>8</v>
      </c>
      <c r="M194" s="17" t="s">
        <v>22</v>
      </c>
      <c r="P194" s="178" t="s">
        <v>672</v>
      </c>
      <c r="Q194" s="178"/>
      <c r="R194" s="178"/>
      <c r="S194" s="178"/>
      <c r="T194" s="178"/>
      <c r="U194" s="178"/>
      <c r="V194" s="178"/>
      <c r="W194" s="178"/>
      <c r="X194" s="178"/>
    </row>
    <row r="195" spans="1:37" x14ac:dyDescent="0.3">
      <c r="A195" s="16" t="s">
        <v>224</v>
      </c>
      <c r="B195" s="3">
        <v>46050</v>
      </c>
      <c r="C195" s="2" t="s">
        <v>35</v>
      </c>
      <c r="D195" s="2" t="s">
        <v>28</v>
      </c>
      <c r="E195" s="2" t="s">
        <v>16</v>
      </c>
      <c r="F195" s="2" t="s">
        <v>21</v>
      </c>
      <c r="G195" s="2">
        <v>17</v>
      </c>
      <c r="H195" s="4">
        <v>250</v>
      </c>
      <c r="I195" s="4">
        <v>4250</v>
      </c>
      <c r="J195" s="2">
        <v>79</v>
      </c>
      <c r="K195" s="2">
        <v>2</v>
      </c>
      <c r="L195" s="2">
        <v>7</v>
      </c>
      <c r="M195" s="17" t="s">
        <v>32</v>
      </c>
      <c r="P195" s="178"/>
      <c r="Q195" s="178"/>
      <c r="R195" s="178"/>
      <c r="S195" s="178"/>
      <c r="T195" s="178"/>
      <c r="U195" s="178"/>
      <c r="V195" s="178"/>
      <c r="W195" s="178"/>
      <c r="X195" s="178"/>
    </row>
    <row r="196" spans="1:37" x14ac:dyDescent="0.3">
      <c r="A196" s="16" t="s">
        <v>225</v>
      </c>
      <c r="B196" s="3">
        <v>46109</v>
      </c>
      <c r="C196" s="2" t="s">
        <v>14</v>
      </c>
      <c r="D196" s="2" t="s">
        <v>24</v>
      </c>
      <c r="E196" s="2" t="s">
        <v>24</v>
      </c>
      <c r="F196" s="2" t="s">
        <v>31</v>
      </c>
      <c r="G196" s="2">
        <v>3</v>
      </c>
      <c r="H196" s="4">
        <v>100</v>
      </c>
      <c r="I196" s="4">
        <v>300</v>
      </c>
      <c r="J196" s="2">
        <v>81</v>
      </c>
      <c r="K196" s="2">
        <v>3</v>
      </c>
      <c r="L196" s="2">
        <v>17</v>
      </c>
      <c r="M196" s="17" t="s">
        <v>22</v>
      </c>
    </row>
    <row r="197" spans="1:37" x14ac:dyDescent="0.3">
      <c r="A197" s="16" t="s">
        <v>226</v>
      </c>
      <c r="B197" s="3">
        <v>46056</v>
      </c>
      <c r="C197" s="2" t="s">
        <v>14</v>
      </c>
      <c r="D197" s="2" t="s">
        <v>19</v>
      </c>
      <c r="E197" s="2" t="s">
        <v>24</v>
      </c>
      <c r="F197" s="2" t="s">
        <v>11</v>
      </c>
      <c r="G197" s="2">
        <v>85</v>
      </c>
      <c r="H197" s="4">
        <v>250</v>
      </c>
      <c r="I197" s="4">
        <v>21250</v>
      </c>
      <c r="J197" s="2">
        <v>81</v>
      </c>
      <c r="K197" s="2">
        <v>3</v>
      </c>
      <c r="L197" s="2">
        <v>13</v>
      </c>
      <c r="M197" s="17" t="s">
        <v>22</v>
      </c>
    </row>
    <row r="198" spans="1:37" ht="15" thickBot="1" x14ac:dyDescent="0.35">
      <c r="A198" s="16" t="s">
        <v>227</v>
      </c>
      <c r="B198" s="3">
        <v>46130</v>
      </c>
      <c r="C198" s="2" t="s">
        <v>40</v>
      </c>
      <c r="D198" s="2" t="s">
        <v>24</v>
      </c>
      <c r="E198" s="2" t="s">
        <v>20</v>
      </c>
      <c r="F198" s="2" t="s">
        <v>31</v>
      </c>
      <c r="G198" s="2">
        <v>14</v>
      </c>
      <c r="H198" s="4">
        <v>5</v>
      </c>
      <c r="I198" s="4">
        <v>70</v>
      </c>
      <c r="J198" s="2">
        <v>97</v>
      </c>
      <c r="K198" s="2">
        <v>5</v>
      </c>
      <c r="L198" s="2">
        <v>18</v>
      </c>
      <c r="M198" s="17" t="s">
        <v>22</v>
      </c>
    </row>
    <row r="199" spans="1:37" x14ac:dyDescent="0.3">
      <c r="A199" s="16" t="s">
        <v>228</v>
      </c>
      <c r="B199" s="3">
        <v>46129</v>
      </c>
      <c r="C199" s="2" t="s">
        <v>30</v>
      </c>
      <c r="D199" s="2" t="s">
        <v>24</v>
      </c>
      <c r="E199" s="2" t="s">
        <v>42</v>
      </c>
      <c r="F199" s="2" t="s">
        <v>25</v>
      </c>
      <c r="G199" s="2">
        <v>25</v>
      </c>
      <c r="H199" s="4">
        <v>10</v>
      </c>
      <c r="I199" s="4">
        <v>250</v>
      </c>
      <c r="J199" s="2">
        <v>100</v>
      </c>
      <c r="K199" s="2">
        <v>3</v>
      </c>
      <c r="L199" s="2">
        <v>17</v>
      </c>
      <c r="M199" s="17" t="s">
        <v>32</v>
      </c>
      <c r="P199" s="204" t="s">
        <v>653</v>
      </c>
      <c r="Q199" s="205"/>
      <c r="R199" s="205"/>
      <c r="S199" s="205"/>
      <c r="T199" s="205"/>
      <c r="U199" s="205"/>
      <c r="V199" s="205"/>
      <c r="W199" s="205"/>
      <c r="X199" s="206"/>
    </row>
    <row r="200" spans="1:37" ht="15" thickBot="1" x14ac:dyDescent="0.35">
      <c r="A200" s="16" t="s">
        <v>229</v>
      </c>
      <c r="B200" s="3">
        <v>46150</v>
      </c>
      <c r="C200" s="2" t="s">
        <v>8</v>
      </c>
      <c r="D200" s="2" t="s">
        <v>19</v>
      </c>
      <c r="E200" s="2" t="s">
        <v>10</v>
      </c>
      <c r="F200" s="2" t="s">
        <v>21</v>
      </c>
      <c r="G200" s="2">
        <v>7</v>
      </c>
      <c r="H200" s="4">
        <v>250</v>
      </c>
      <c r="I200" s="4">
        <v>1750</v>
      </c>
      <c r="J200" s="2">
        <v>87</v>
      </c>
      <c r="K200" s="2">
        <v>4</v>
      </c>
      <c r="L200" s="2">
        <v>12</v>
      </c>
      <c r="M200" s="17" t="s">
        <v>22</v>
      </c>
      <c r="P200" s="207"/>
      <c r="Q200" s="208"/>
      <c r="R200" s="208"/>
      <c r="S200" s="208"/>
      <c r="T200" s="208"/>
      <c r="U200" s="208"/>
      <c r="V200" s="208"/>
      <c r="W200" s="208"/>
      <c r="X200" s="209"/>
    </row>
    <row r="201" spans="1:37" x14ac:dyDescent="0.3">
      <c r="A201" s="16" t="s">
        <v>230</v>
      </c>
      <c r="B201" s="3">
        <v>46148</v>
      </c>
      <c r="C201" s="2" t="s">
        <v>30</v>
      </c>
      <c r="D201" s="2" t="s">
        <v>24</v>
      </c>
      <c r="E201" s="2" t="s">
        <v>24</v>
      </c>
      <c r="F201" s="2" t="s">
        <v>17</v>
      </c>
      <c r="G201" s="2">
        <v>46</v>
      </c>
      <c r="H201" s="4">
        <v>100</v>
      </c>
      <c r="I201" s="4">
        <v>4600</v>
      </c>
      <c r="J201" s="2">
        <v>99</v>
      </c>
      <c r="K201" s="2">
        <v>2</v>
      </c>
      <c r="L201" s="2">
        <v>7</v>
      </c>
      <c r="M201" s="17" t="s">
        <v>22</v>
      </c>
      <c r="P201" s="160" t="s">
        <v>663</v>
      </c>
      <c r="Q201" s="161"/>
      <c r="R201" s="161"/>
      <c r="S201" s="161"/>
      <c r="T201" s="162"/>
      <c r="U201" s="210">
        <f>SUM(Table1[Spend (USD)])</f>
        <v>2103665</v>
      </c>
      <c r="V201" s="210"/>
      <c r="W201" s="210"/>
      <c r="X201" s="211"/>
    </row>
    <row r="202" spans="1:37" ht="15.6" x14ac:dyDescent="0.3">
      <c r="A202" s="16" t="s">
        <v>231</v>
      </c>
      <c r="B202" s="3">
        <v>46155</v>
      </c>
      <c r="C202" s="2" t="s">
        <v>8</v>
      </c>
      <c r="D202" s="2" t="s">
        <v>15</v>
      </c>
      <c r="E202" s="2" t="s">
        <v>42</v>
      </c>
      <c r="F202" s="2" t="s">
        <v>11</v>
      </c>
      <c r="G202" s="2">
        <v>75</v>
      </c>
      <c r="H202" s="4">
        <v>250</v>
      </c>
      <c r="I202" s="4">
        <v>18750</v>
      </c>
      <c r="J202" s="2">
        <v>93</v>
      </c>
      <c r="K202" s="2">
        <v>5</v>
      </c>
      <c r="L202" s="2">
        <v>15</v>
      </c>
      <c r="M202" s="17" t="s">
        <v>22</v>
      </c>
      <c r="P202" s="163"/>
      <c r="Q202" s="164"/>
      <c r="R202" s="164"/>
      <c r="S202" s="164"/>
      <c r="T202" s="165"/>
      <c r="U202" s="212"/>
      <c r="V202" s="212"/>
      <c r="W202" s="212"/>
      <c r="X202" s="213"/>
      <c r="AD202" s="11"/>
      <c r="AE202" s="11"/>
      <c r="AF202" s="11"/>
      <c r="AG202" s="11"/>
      <c r="AH202" s="11"/>
      <c r="AI202" s="11"/>
      <c r="AJ202" s="11"/>
      <c r="AK202" s="11"/>
    </row>
    <row r="203" spans="1:37" ht="15.6" x14ac:dyDescent="0.3">
      <c r="A203" s="16" t="s">
        <v>232</v>
      </c>
      <c r="B203" s="3">
        <v>46106</v>
      </c>
      <c r="C203" s="2" t="s">
        <v>14</v>
      </c>
      <c r="D203" s="2" t="s">
        <v>15</v>
      </c>
      <c r="E203" s="2" t="s">
        <v>24</v>
      </c>
      <c r="F203" s="2" t="s">
        <v>31</v>
      </c>
      <c r="G203" s="2">
        <v>35</v>
      </c>
      <c r="H203" s="4">
        <v>100</v>
      </c>
      <c r="I203" s="4">
        <v>3500</v>
      </c>
      <c r="J203" s="2">
        <v>98</v>
      </c>
      <c r="K203" s="2">
        <v>2</v>
      </c>
      <c r="L203" s="2">
        <v>13</v>
      </c>
      <c r="M203" s="17" t="s">
        <v>22</v>
      </c>
      <c r="P203" s="166" t="s">
        <v>664</v>
      </c>
      <c r="Q203" s="167"/>
      <c r="R203" s="167"/>
      <c r="S203" s="167"/>
      <c r="T203" s="168"/>
      <c r="U203" s="214">
        <f>AVERAGE(Table1[Spend (USD)])</f>
        <v>3506.1083333333331</v>
      </c>
      <c r="V203" s="214"/>
      <c r="W203" s="214"/>
      <c r="X203" s="215"/>
      <c r="AD203" s="11"/>
      <c r="AE203" s="11"/>
      <c r="AF203" s="11"/>
      <c r="AG203" s="11"/>
      <c r="AH203" s="11"/>
      <c r="AI203" s="11"/>
      <c r="AJ203" s="11"/>
      <c r="AK203" s="11"/>
    </row>
    <row r="204" spans="1:37" ht="15.6" x14ac:dyDescent="0.3">
      <c r="A204" s="16" t="s">
        <v>233</v>
      </c>
      <c r="B204" s="3">
        <v>46185</v>
      </c>
      <c r="C204" s="2" t="s">
        <v>8</v>
      </c>
      <c r="D204" s="2" t="s">
        <v>19</v>
      </c>
      <c r="E204" s="2" t="s">
        <v>24</v>
      </c>
      <c r="F204" s="2" t="s">
        <v>11</v>
      </c>
      <c r="G204" s="2">
        <v>7</v>
      </c>
      <c r="H204" s="4">
        <v>250</v>
      </c>
      <c r="I204" s="4">
        <v>1750</v>
      </c>
      <c r="J204" s="2">
        <v>70</v>
      </c>
      <c r="K204" s="2">
        <v>4</v>
      </c>
      <c r="L204" s="2">
        <v>14</v>
      </c>
      <c r="M204" s="17" t="s">
        <v>22</v>
      </c>
      <c r="P204" s="163"/>
      <c r="Q204" s="164"/>
      <c r="R204" s="164"/>
      <c r="S204" s="164"/>
      <c r="T204" s="165"/>
      <c r="U204" s="214"/>
      <c r="V204" s="214"/>
      <c r="W204" s="214"/>
      <c r="X204" s="215"/>
      <c r="AD204" s="11"/>
      <c r="AE204" s="11"/>
      <c r="AF204" s="11"/>
      <c r="AG204" s="11"/>
      <c r="AH204" s="11"/>
      <c r="AI204" s="11"/>
      <c r="AJ204" s="11"/>
      <c r="AK204" s="11"/>
    </row>
    <row r="205" spans="1:37" ht="15.6" x14ac:dyDescent="0.3">
      <c r="A205" s="16" t="s">
        <v>234</v>
      </c>
      <c r="B205" s="3">
        <v>46103</v>
      </c>
      <c r="C205" s="2" t="s">
        <v>27</v>
      </c>
      <c r="D205" s="2" t="s">
        <v>19</v>
      </c>
      <c r="E205" s="2" t="s">
        <v>20</v>
      </c>
      <c r="F205" s="2" t="s">
        <v>17</v>
      </c>
      <c r="G205" s="2">
        <v>16</v>
      </c>
      <c r="H205" s="4">
        <v>250</v>
      </c>
      <c r="I205" s="4">
        <v>4000</v>
      </c>
      <c r="J205" s="2">
        <v>82</v>
      </c>
      <c r="K205" s="2">
        <v>3</v>
      </c>
      <c r="L205" s="2">
        <v>7</v>
      </c>
      <c r="M205" s="17" t="s">
        <v>22</v>
      </c>
      <c r="P205" s="166" t="s">
        <v>665</v>
      </c>
      <c r="Q205" s="167"/>
      <c r="R205" s="167"/>
      <c r="S205" s="167"/>
      <c r="T205" s="168"/>
      <c r="U205" s="172">
        <f>COUNTA(Table1[PO No])</f>
        <v>600</v>
      </c>
      <c r="V205" s="172"/>
      <c r="W205" s="172"/>
      <c r="X205" s="173"/>
      <c r="AD205" s="11"/>
      <c r="AE205" s="11"/>
      <c r="AF205" s="11"/>
      <c r="AG205" s="11"/>
      <c r="AH205" s="11"/>
      <c r="AI205" s="11"/>
      <c r="AJ205" s="11"/>
      <c r="AK205" s="11"/>
    </row>
    <row r="206" spans="1:37" ht="15.6" x14ac:dyDescent="0.3">
      <c r="A206" s="16" t="s">
        <v>235</v>
      </c>
      <c r="B206" s="3">
        <v>46106</v>
      </c>
      <c r="C206" s="2" t="s">
        <v>14</v>
      </c>
      <c r="D206" s="2" t="s">
        <v>15</v>
      </c>
      <c r="E206" s="2" t="s">
        <v>10</v>
      </c>
      <c r="F206" s="2" t="s">
        <v>17</v>
      </c>
      <c r="G206" s="2">
        <v>27</v>
      </c>
      <c r="H206" s="4">
        <v>20</v>
      </c>
      <c r="I206" s="4">
        <v>540</v>
      </c>
      <c r="J206" s="2">
        <v>89</v>
      </c>
      <c r="K206" s="2">
        <v>5</v>
      </c>
      <c r="L206" s="2">
        <v>20</v>
      </c>
      <c r="M206" s="17" t="s">
        <v>32</v>
      </c>
      <c r="P206" s="163"/>
      <c r="Q206" s="164"/>
      <c r="R206" s="164"/>
      <c r="S206" s="164"/>
      <c r="T206" s="165"/>
      <c r="U206" s="172"/>
      <c r="V206" s="172"/>
      <c r="W206" s="172"/>
      <c r="X206" s="173"/>
      <c r="AD206" s="11"/>
      <c r="AE206" s="11"/>
      <c r="AF206" s="11"/>
      <c r="AG206" s="11"/>
      <c r="AH206" s="11"/>
      <c r="AI206" s="11"/>
      <c r="AJ206" s="11"/>
      <c r="AK206" s="11"/>
    </row>
    <row r="207" spans="1:37" ht="15.6" x14ac:dyDescent="0.3">
      <c r="A207" s="16" t="s">
        <v>236</v>
      </c>
      <c r="B207" s="3">
        <v>46188</v>
      </c>
      <c r="C207" s="2" t="s">
        <v>27</v>
      </c>
      <c r="D207" s="2" t="s">
        <v>15</v>
      </c>
      <c r="E207" s="2" t="s">
        <v>10</v>
      </c>
      <c r="F207" s="2" t="s">
        <v>31</v>
      </c>
      <c r="G207" s="2">
        <v>46</v>
      </c>
      <c r="H207" s="4">
        <v>100</v>
      </c>
      <c r="I207" s="4">
        <v>4600</v>
      </c>
      <c r="J207" s="2">
        <v>76</v>
      </c>
      <c r="K207" s="2">
        <v>3</v>
      </c>
      <c r="L207" s="2">
        <v>11</v>
      </c>
      <c r="M207" s="17" t="s">
        <v>22</v>
      </c>
      <c r="P207" s="166" t="s">
        <v>666</v>
      </c>
      <c r="Q207" s="167"/>
      <c r="R207" s="167"/>
      <c r="S207" s="167"/>
      <c r="T207" s="168"/>
      <c r="U207" s="172">
        <f>COUNTA(A560:M560)</f>
        <v>13</v>
      </c>
      <c r="V207" s="172"/>
      <c r="W207" s="172"/>
      <c r="X207" s="173"/>
      <c r="AD207" s="11"/>
      <c r="AE207" s="11"/>
      <c r="AF207" s="11"/>
      <c r="AG207" s="11"/>
      <c r="AH207" s="11"/>
      <c r="AI207" s="11"/>
      <c r="AJ207" s="11"/>
      <c r="AK207" s="11"/>
    </row>
    <row r="208" spans="1:37" ht="15.6" x14ac:dyDescent="0.3">
      <c r="A208" s="16" t="s">
        <v>237</v>
      </c>
      <c r="B208" s="3">
        <v>46114</v>
      </c>
      <c r="C208" s="2" t="s">
        <v>8</v>
      </c>
      <c r="D208" s="2" t="s">
        <v>9</v>
      </c>
      <c r="E208" s="2" t="s">
        <v>16</v>
      </c>
      <c r="F208" s="2" t="s">
        <v>31</v>
      </c>
      <c r="G208" s="2">
        <v>3</v>
      </c>
      <c r="H208" s="4">
        <v>20</v>
      </c>
      <c r="I208" s="4">
        <v>60</v>
      </c>
      <c r="J208" s="2">
        <v>94</v>
      </c>
      <c r="K208" s="2">
        <v>5</v>
      </c>
      <c r="L208" s="2">
        <v>12</v>
      </c>
      <c r="M208" s="17" t="s">
        <v>22</v>
      </c>
      <c r="P208" s="163"/>
      <c r="Q208" s="164"/>
      <c r="R208" s="164"/>
      <c r="S208" s="164"/>
      <c r="T208" s="165"/>
      <c r="U208" s="172"/>
      <c r="V208" s="172"/>
      <c r="W208" s="172"/>
      <c r="X208" s="173"/>
      <c r="AD208" s="11"/>
      <c r="AE208" s="11"/>
      <c r="AF208" s="11"/>
      <c r="AG208" s="11"/>
      <c r="AH208" s="11"/>
      <c r="AI208" s="11"/>
      <c r="AJ208" s="11"/>
      <c r="AK208" s="11"/>
    </row>
    <row r="209" spans="1:37" ht="15.6" x14ac:dyDescent="0.3">
      <c r="A209" s="16" t="s">
        <v>238</v>
      </c>
      <c r="B209" s="3">
        <v>46123</v>
      </c>
      <c r="C209" s="2" t="s">
        <v>40</v>
      </c>
      <c r="D209" s="2" t="s">
        <v>19</v>
      </c>
      <c r="E209" s="2" t="s">
        <v>10</v>
      </c>
      <c r="F209" s="2" t="s">
        <v>17</v>
      </c>
      <c r="G209" s="2">
        <v>68</v>
      </c>
      <c r="H209" s="4">
        <v>100</v>
      </c>
      <c r="I209" s="4">
        <v>6800</v>
      </c>
      <c r="J209" s="2">
        <v>87</v>
      </c>
      <c r="K209" s="2">
        <v>5</v>
      </c>
      <c r="L209" s="2">
        <v>17</v>
      </c>
      <c r="M209" s="17" t="s">
        <v>32</v>
      </c>
      <c r="P209" s="166" t="s">
        <v>685</v>
      </c>
      <c r="Q209" s="167"/>
      <c r="R209" s="167"/>
      <c r="S209" s="167"/>
      <c r="T209" s="168"/>
      <c r="U209" s="174" t="s">
        <v>681</v>
      </c>
      <c r="V209" s="174"/>
      <c r="W209" s="174"/>
      <c r="X209" s="175"/>
      <c r="AD209" s="11"/>
      <c r="AE209" s="11"/>
      <c r="AF209" s="11"/>
      <c r="AG209" s="11"/>
      <c r="AH209" s="11"/>
      <c r="AI209" s="11"/>
      <c r="AJ209" s="11"/>
      <c r="AK209" s="11"/>
    </row>
    <row r="210" spans="1:37" ht="15.6" x14ac:dyDescent="0.3">
      <c r="A210" s="16" t="s">
        <v>239</v>
      </c>
      <c r="B210" s="3">
        <v>46177</v>
      </c>
      <c r="C210" s="2" t="s">
        <v>35</v>
      </c>
      <c r="D210" s="2" t="s">
        <v>28</v>
      </c>
      <c r="E210" s="2" t="s">
        <v>16</v>
      </c>
      <c r="F210" s="2" t="s">
        <v>25</v>
      </c>
      <c r="G210" s="2">
        <v>77</v>
      </c>
      <c r="H210" s="4">
        <v>100</v>
      </c>
      <c r="I210" s="4">
        <v>7700</v>
      </c>
      <c r="J210" s="2">
        <v>81</v>
      </c>
      <c r="K210" s="2">
        <v>3</v>
      </c>
      <c r="L210" s="2">
        <v>19</v>
      </c>
      <c r="M210" s="17" t="s">
        <v>22</v>
      </c>
      <c r="P210" s="163"/>
      <c r="Q210" s="164"/>
      <c r="R210" s="164"/>
      <c r="S210" s="164"/>
      <c r="T210" s="165"/>
      <c r="U210" s="174"/>
      <c r="V210" s="174"/>
      <c r="W210" s="174"/>
      <c r="X210" s="175"/>
      <c r="AD210" s="11"/>
      <c r="AE210" s="11"/>
      <c r="AF210" s="11"/>
      <c r="AG210" s="11"/>
      <c r="AH210" s="11"/>
      <c r="AI210" s="11"/>
      <c r="AJ210" s="11"/>
      <c r="AK210" s="11"/>
    </row>
    <row r="211" spans="1:37" ht="15.6" x14ac:dyDescent="0.3">
      <c r="A211" s="16" t="s">
        <v>240</v>
      </c>
      <c r="B211" s="3">
        <v>46191</v>
      </c>
      <c r="C211" s="2" t="s">
        <v>35</v>
      </c>
      <c r="D211" s="2" t="s">
        <v>15</v>
      </c>
      <c r="E211" s="2" t="s">
        <v>24</v>
      </c>
      <c r="F211" s="2" t="s">
        <v>25</v>
      </c>
      <c r="G211" s="2">
        <v>96</v>
      </c>
      <c r="H211" s="4">
        <v>20</v>
      </c>
      <c r="I211" s="4">
        <v>1920</v>
      </c>
      <c r="J211" s="2">
        <v>86</v>
      </c>
      <c r="K211" s="2">
        <v>2</v>
      </c>
      <c r="L211" s="2">
        <v>4</v>
      </c>
      <c r="M211" s="17" t="s">
        <v>22</v>
      </c>
      <c r="P211" s="166" t="s">
        <v>686</v>
      </c>
      <c r="Q211" s="167"/>
      <c r="R211" s="167"/>
      <c r="S211" s="167"/>
      <c r="T211" s="168"/>
      <c r="U211" s="174" t="s">
        <v>682</v>
      </c>
      <c r="V211" s="174"/>
      <c r="W211" s="174"/>
      <c r="X211" s="175"/>
      <c r="AD211" s="11"/>
      <c r="AE211" s="11"/>
      <c r="AF211" s="11"/>
      <c r="AG211" s="11"/>
      <c r="AH211" s="11"/>
      <c r="AI211" s="11"/>
      <c r="AJ211" s="11"/>
      <c r="AK211" s="11"/>
    </row>
    <row r="212" spans="1:37" ht="15.6" x14ac:dyDescent="0.3">
      <c r="A212" s="16" t="s">
        <v>241</v>
      </c>
      <c r="B212" s="3">
        <v>46025</v>
      </c>
      <c r="C212" s="2" t="s">
        <v>40</v>
      </c>
      <c r="D212" s="2" t="s">
        <v>28</v>
      </c>
      <c r="E212" s="2" t="s">
        <v>16</v>
      </c>
      <c r="F212" s="2" t="s">
        <v>31</v>
      </c>
      <c r="G212" s="2">
        <v>64</v>
      </c>
      <c r="H212" s="4">
        <v>20</v>
      </c>
      <c r="I212" s="4">
        <v>1280</v>
      </c>
      <c r="J212" s="2">
        <v>97</v>
      </c>
      <c r="K212" s="2">
        <v>5</v>
      </c>
      <c r="L212" s="2">
        <v>13</v>
      </c>
      <c r="M212" s="17" t="s">
        <v>22</v>
      </c>
      <c r="P212" s="163"/>
      <c r="Q212" s="164"/>
      <c r="R212" s="164"/>
      <c r="S212" s="164"/>
      <c r="T212" s="165"/>
      <c r="U212" s="174"/>
      <c r="V212" s="174"/>
      <c r="W212" s="174"/>
      <c r="X212" s="175"/>
      <c r="AD212" s="11"/>
      <c r="AE212" s="11"/>
      <c r="AF212" s="11"/>
      <c r="AG212" s="11"/>
      <c r="AH212" s="11"/>
      <c r="AI212" s="11"/>
      <c r="AJ212" s="11"/>
      <c r="AK212" s="11"/>
    </row>
    <row r="213" spans="1:37" ht="15.6" x14ac:dyDescent="0.3">
      <c r="A213" s="16" t="s">
        <v>242</v>
      </c>
      <c r="B213" s="3">
        <v>46075</v>
      </c>
      <c r="C213" s="2" t="s">
        <v>30</v>
      </c>
      <c r="D213" s="2" t="s">
        <v>15</v>
      </c>
      <c r="E213" s="2" t="s">
        <v>10</v>
      </c>
      <c r="F213" s="2" t="s">
        <v>17</v>
      </c>
      <c r="G213" s="2">
        <v>23</v>
      </c>
      <c r="H213" s="4">
        <v>250</v>
      </c>
      <c r="I213" s="4">
        <v>5750</v>
      </c>
      <c r="J213" s="2">
        <v>71</v>
      </c>
      <c r="K213" s="2">
        <v>5</v>
      </c>
      <c r="L213" s="2">
        <v>19</v>
      </c>
      <c r="M213" s="17" t="s">
        <v>22</v>
      </c>
      <c r="P213" s="166" t="s">
        <v>687</v>
      </c>
      <c r="Q213" s="167"/>
      <c r="R213" s="167"/>
      <c r="S213" s="167"/>
      <c r="T213" s="168"/>
      <c r="U213" s="176" t="s">
        <v>683</v>
      </c>
      <c r="V213" s="176"/>
      <c r="W213" s="176"/>
      <c r="X213" s="177"/>
      <c r="AD213" s="11"/>
      <c r="AE213" s="11"/>
      <c r="AF213" s="11"/>
      <c r="AG213" s="11"/>
      <c r="AH213" s="11"/>
      <c r="AI213" s="11"/>
      <c r="AJ213" s="11"/>
      <c r="AK213" s="11"/>
    </row>
    <row r="214" spans="1:37" ht="15.6" x14ac:dyDescent="0.3">
      <c r="A214" s="16" t="s">
        <v>243</v>
      </c>
      <c r="B214" s="3">
        <v>46177</v>
      </c>
      <c r="C214" s="2" t="s">
        <v>40</v>
      </c>
      <c r="D214" s="2" t="s">
        <v>15</v>
      </c>
      <c r="E214" s="2" t="s">
        <v>10</v>
      </c>
      <c r="F214" s="2" t="s">
        <v>21</v>
      </c>
      <c r="G214" s="2">
        <v>52</v>
      </c>
      <c r="H214" s="4">
        <v>250</v>
      </c>
      <c r="I214" s="4">
        <v>13000</v>
      </c>
      <c r="J214" s="2">
        <v>87</v>
      </c>
      <c r="K214" s="2">
        <v>4</v>
      </c>
      <c r="L214" s="2">
        <v>3</v>
      </c>
      <c r="M214" s="17" t="s">
        <v>32</v>
      </c>
      <c r="P214" s="163"/>
      <c r="Q214" s="164"/>
      <c r="R214" s="164"/>
      <c r="S214" s="164"/>
      <c r="T214" s="165"/>
      <c r="U214" s="176"/>
      <c r="V214" s="176"/>
      <c r="W214" s="176"/>
      <c r="X214" s="177"/>
      <c r="AC214" s="11"/>
      <c r="AD214" s="11"/>
      <c r="AE214" s="11"/>
      <c r="AF214" s="11"/>
      <c r="AG214" s="11"/>
      <c r="AH214" s="11"/>
      <c r="AI214" s="11"/>
      <c r="AJ214" s="11"/>
      <c r="AK214" s="11"/>
    </row>
    <row r="215" spans="1:37" ht="15.6" x14ac:dyDescent="0.3">
      <c r="A215" s="16" t="s">
        <v>244</v>
      </c>
      <c r="B215" s="3">
        <v>46109</v>
      </c>
      <c r="C215" s="2" t="s">
        <v>27</v>
      </c>
      <c r="D215" s="2" t="s">
        <v>15</v>
      </c>
      <c r="E215" s="2" t="s">
        <v>24</v>
      </c>
      <c r="F215" s="2" t="s">
        <v>21</v>
      </c>
      <c r="G215" s="2">
        <v>50</v>
      </c>
      <c r="H215" s="4">
        <v>10</v>
      </c>
      <c r="I215" s="4">
        <v>500</v>
      </c>
      <c r="J215" s="2">
        <v>77</v>
      </c>
      <c r="K215" s="2">
        <v>3</v>
      </c>
      <c r="L215" s="2">
        <v>7</v>
      </c>
      <c r="M215" s="17" t="s">
        <v>22</v>
      </c>
      <c r="P215" s="166" t="s">
        <v>688</v>
      </c>
      <c r="Q215" s="167"/>
      <c r="R215" s="167"/>
      <c r="S215" s="167"/>
      <c r="T215" s="168"/>
      <c r="U215" s="174" t="s">
        <v>684</v>
      </c>
      <c r="V215" s="174"/>
      <c r="W215" s="174"/>
      <c r="X215" s="175"/>
      <c r="AI215" s="11"/>
      <c r="AJ215" s="11"/>
      <c r="AK215" s="11"/>
    </row>
    <row r="216" spans="1:37" ht="16.2" thickBot="1" x14ac:dyDescent="0.35">
      <c r="A216" s="16" t="s">
        <v>245</v>
      </c>
      <c r="B216" s="3">
        <v>46192</v>
      </c>
      <c r="C216" s="2" t="s">
        <v>30</v>
      </c>
      <c r="D216" s="2" t="s">
        <v>28</v>
      </c>
      <c r="E216" s="2" t="s">
        <v>42</v>
      </c>
      <c r="F216" s="2" t="s">
        <v>17</v>
      </c>
      <c r="G216" s="2">
        <v>67</v>
      </c>
      <c r="H216" s="4">
        <v>20</v>
      </c>
      <c r="I216" s="4">
        <v>1340</v>
      </c>
      <c r="J216" s="2">
        <v>71</v>
      </c>
      <c r="K216" s="2">
        <v>3</v>
      </c>
      <c r="L216" s="2">
        <v>7</v>
      </c>
      <c r="M216" s="17" t="s">
        <v>22</v>
      </c>
      <c r="P216" s="169"/>
      <c r="Q216" s="170"/>
      <c r="R216" s="170"/>
      <c r="S216" s="170"/>
      <c r="T216" s="171"/>
      <c r="U216" s="187"/>
      <c r="V216" s="187"/>
      <c r="W216" s="187"/>
      <c r="X216" s="219"/>
      <c r="AJ216" s="11"/>
      <c r="AK216" s="11"/>
    </row>
    <row r="217" spans="1:37" ht="15.6" x14ac:dyDescent="0.3">
      <c r="A217" s="16" t="s">
        <v>246</v>
      </c>
      <c r="B217" s="3">
        <v>46103</v>
      </c>
      <c r="C217" s="2" t="s">
        <v>14</v>
      </c>
      <c r="D217" s="2" t="s">
        <v>24</v>
      </c>
      <c r="E217" s="2" t="s">
        <v>16</v>
      </c>
      <c r="F217" s="2" t="s">
        <v>21</v>
      </c>
      <c r="G217" s="2">
        <v>25</v>
      </c>
      <c r="H217" s="4">
        <v>10</v>
      </c>
      <c r="I217" s="4">
        <v>250</v>
      </c>
      <c r="J217" s="2">
        <v>71</v>
      </c>
      <c r="K217" s="2">
        <v>4</v>
      </c>
      <c r="L217" s="2">
        <v>16</v>
      </c>
      <c r="M217" s="17" t="s">
        <v>22</v>
      </c>
      <c r="P217" s="216" t="s">
        <v>695</v>
      </c>
      <c r="Q217" s="217"/>
      <c r="R217" s="217"/>
      <c r="S217" s="217"/>
      <c r="T217" s="218"/>
      <c r="U217" s="202">
        <f>AVERAGE(Table1[On-Time %])</f>
        <v>84.801666666666662</v>
      </c>
      <c r="V217" s="202"/>
      <c r="W217" s="202"/>
      <c r="X217" s="203"/>
      <c r="AJ217" s="11"/>
      <c r="AK217" s="11"/>
    </row>
    <row r="218" spans="1:37" ht="15.6" x14ac:dyDescent="0.3">
      <c r="A218" s="16" t="s">
        <v>247</v>
      </c>
      <c r="B218" s="3">
        <v>46162</v>
      </c>
      <c r="C218" s="2" t="s">
        <v>30</v>
      </c>
      <c r="D218" s="2" t="s">
        <v>24</v>
      </c>
      <c r="E218" s="2" t="s">
        <v>10</v>
      </c>
      <c r="F218" s="2" t="s">
        <v>11</v>
      </c>
      <c r="G218" s="2">
        <v>45</v>
      </c>
      <c r="H218" s="4">
        <v>20</v>
      </c>
      <c r="I218" s="4">
        <v>900</v>
      </c>
      <c r="J218" s="2">
        <v>86</v>
      </c>
      <c r="K218" s="2">
        <v>4</v>
      </c>
      <c r="L218" s="2">
        <v>9</v>
      </c>
      <c r="M218" s="17" t="s">
        <v>32</v>
      </c>
      <c r="P218" s="155"/>
      <c r="Q218" s="156"/>
      <c r="R218" s="156"/>
      <c r="S218" s="156"/>
      <c r="T218" s="157"/>
      <c r="U218" s="172"/>
      <c r="V218" s="172"/>
      <c r="W218" s="172"/>
      <c r="X218" s="173"/>
      <c r="AJ218" s="11"/>
      <c r="AK218" s="11"/>
    </row>
    <row r="219" spans="1:37" ht="15.6" x14ac:dyDescent="0.3">
      <c r="A219" s="16" t="s">
        <v>248</v>
      </c>
      <c r="B219" s="3">
        <v>46175</v>
      </c>
      <c r="C219" s="2" t="s">
        <v>30</v>
      </c>
      <c r="D219" s="2" t="s">
        <v>24</v>
      </c>
      <c r="E219" s="2" t="s">
        <v>10</v>
      </c>
      <c r="F219" s="2" t="s">
        <v>25</v>
      </c>
      <c r="G219" s="2">
        <v>45</v>
      </c>
      <c r="H219" s="4">
        <v>50</v>
      </c>
      <c r="I219" s="4">
        <v>2250</v>
      </c>
      <c r="J219" s="2">
        <v>86</v>
      </c>
      <c r="K219" s="2">
        <v>4</v>
      </c>
      <c r="L219" s="2">
        <v>6</v>
      </c>
      <c r="M219" s="17" t="s">
        <v>22</v>
      </c>
      <c r="P219" s="152" t="s">
        <v>689</v>
      </c>
      <c r="Q219" s="153"/>
      <c r="R219" s="153"/>
      <c r="S219" s="153"/>
      <c r="T219" s="154"/>
      <c r="U219" s="180" t="s">
        <v>692</v>
      </c>
      <c r="V219" s="181"/>
      <c r="W219" s="181"/>
      <c r="X219" s="182"/>
      <c r="AJ219" s="11"/>
      <c r="AK219" s="11"/>
    </row>
    <row r="220" spans="1:37" ht="15.6" x14ac:dyDescent="0.3">
      <c r="A220" s="16" t="s">
        <v>249</v>
      </c>
      <c r="B220" s="3">
        <v>46100</v>
      </c>
      <c r="C220" s="2" t="s">
        <v>35</v>
      </c>
      <c r="D220" s="2" t="s">
        <v>28</v>
      </c>
      <c r="E220" s="2" t="s">
        <v>20</v>
      </c>
      <c r="F220" s="2" t="s">
        <v>21</v>
      </c>
      <c r="G220" s="2">
        <v>11</v>
      </c>
      <c r="H220" s="4">
        <v>20</v>
      </c>
      <c r="I220" s="4">
        <v>220</v>
      </c>
      <c r="J220" s="2">
        <v>78</v>
      </c>
      <c r="K220" s="2">
        <v>5</v>
      </c>
      <c r="L220" s="2">
        <v>11</v>
      </c>
      <c r="M220" s="17" t="s">
        <v>22</v>
      </c>
      <c r="P220" s="155"/>
      <c r="Q220" s="156"/>
      <c r="R220" s="156"/>
      <c r="S220" s="156"/>
      <c r="T220" s="157"/>
      <c r="U220" s="183"/>
      <c r="V220" s="184"/>
      <c r="W220" s="184"/>
      <c r="X220" s="185"/>
      <c r="AJ220" s="11"/>
      <c r="AK220" s="11"/>
    </row>
    <row r="221" spans="1:37" ht="15.6" x14ac:dyDescent="0.3">
      <c r="A221" s="16" t="s">
        <v>250</v>
      </c>
      <c r="B221" s="3">
        <v>46144</v>
      </c>
      <c r="C221" s="2" t="s">
        <v>35</v>
      </c>
      <c r="D221" s="2" t="s">
        <v>28</v>
      </c>
      <c r="E221" s="2" t="s">
        <v>24</v>
      </c>
      <c r="F221" s="2" t="s">
        <v>17</v>
      </c>
      <c r="G221" s="2">
        <v>18</v>
      </c>
      <c r="H221" s="4">
        <v>10</v>
      </c>
      <c r="I221" s="4">
        <v>180</v>
      </c>
      <c r="J221" s="2">
        <v>88</v>
      </c>
      <c r="K221" s="2">
        <v>2</v>
      </c>
      <c r="L221" s="2">
        <v>13</v>
      </c>
      <c r="M221" s="17" t="s">
        <v>22</v>
      </c>
      <c r="P221" s="152" t="s">
        <v>696</v>
      </c>
      <c r="Q221" s="153"/>
      <c r="R221" s="153"/>
      <c r="S221" s="153"/>
      <c r="T221" s="154"/>
      <c r="U221" s="172">
        <f>AVERAGE(Table1[Quality])</f>
        <v>3.48</v>
      </c>
      <c r="V221" s="172"/>
      <c r="W221" s="172"/>
      <c r="X221" s="173"/>
      <c r="AC221" s="59"/>
      <c r="AD221" s="59"/>
      <c r="AE221" s="59"/>
      <c r="AF221" s="59"/>
      <c r="AG221" s="59"/>
      <c r="AH221" s="59"/>
      <c r="AI221" s="59"/>
      <c r="AJ221" s="11"/>
      <c r="AK221" s="11"/>
    </row>
    <row r="222" spans="1:37" ht="15.6" x14ac:dyDescent="0.3">
      <c r="A222" s="16" t="s">
        <v>251</v>
      </c>
      <c r="B222" s="3">
        <v>46160</v>
      </c>
      <c r="C222" s="2" t="s">
        <v>40</v>
      </c>
      <c r="D222" s="2" t="s">
        <v>19</v>
      </c>
      <c r="E222" s="2" t="s">
        <v>16</v>
      </c>
      <c r="F222" s="2" t="s">
        <v>31</v>
      </c>
      <c r="G222" s="2">
        <v>41</v>
      </c>
      <c r="H222" s="4">
        <v>50</v>
      </c>
      <c r="I222" s="4">
        <v>2050</v>
      </c>
      <c r="J222" s="2">
        <v>94</v>
      </c>
      <c r="K222" s="2">
        <v>2</v>
      </c>
      <c r="L222" s="2">
        <v>18</v>
      </c>
      <c r="M222" s="17" t="s">
        <v>22</v>
      </c>
      <c r="P222" s="155"/>
      <c r="Q222" s="156"/>
      <c r="R222" s="156"/>
      <c r="S222" s="156"/>
      <c r="T222" s="157"/>
      <c r="U222" s="172"/>
      <c r="V222" s="172"/>
      <c r="W222" s="172"/>
      <c r="X222" s="173"/>
      <c r="AC222" s="59"/>
      <c r="AD222" s="59"/>
      <c r="AE222" s="59"/>
      <c r="AF222" s="59"/>
      <c r="AG222" s="59"/>
      <c r="AH222" s="59"/>
      <c r="AI222" s="59"/>
      <c r="AJ222" s="11"/>
      <c r="AK222" s="11"/>
    </row>
    <row r="223" spans="1:37" x14ac:dyDescent="0.3">
      <c r="A223" s="16" t="s">
        <v>252</v>
      </c>
      <c r="B223" s="3">
        <v>46027</v>
      </c>
      <c r="C223" s="2" t="s">
        <v>30</v>
      </c>
      <c r="D223" s="2" t="s">
        <v>19</v>
      </c>
      <c r="E223" s="2" t="s">
        <v>16</v>
      </c>
      <c r="F223" s="2" t="s">
        <v>11</v>
      </c>
      <c r="G223" s="2">
        <v>9</v>
      </c>
      <c r="H223" s="4">
        <v>250</v>
      </c>
      <c r="I223" s="4">
        <v>2250</v>
      </c>
      <c r="J223" s="2">
        <v>84</v>
      </c>
      <c r="K223" s="2">
        <v>5</v>
      </c>
      <c r="L223" s="2">
        <v>20</v>
      </c>
      <c r="M223" s="17" t="s">
        <v>22</v>
      </c>
      <c r="P223" s="179" t="s">
        <v>690</v>
      </c>
      <c r="Q223" s="174"/>
      <c r="R223" s="174"/>
      <c r="S223" s="174"/>
      <c r="T223" s="174"/>
      <c r="U223" s="180" t="s">
        <v>693</v>
      </c>
      <c r="V223" s="181"/>
      <c r="W223" s="181"/>
      <c r="X223" s="182"/>
    </row>
    <row r="224" spans="1:37" x14ac:dyDescent="0.3">
      <c r="A224" s="16" t="s">
        <v>253</v>
      </c>
      <c r="B224" s="3">
        <v>46066</v>
      </c>
      <c r="C224" s="2" t="s">
        <v>8</v>
      </c>
      <c r="D224" s="2" t="s">
        <v>28</v>
      </c>
      <c r="E224" s="2" t="s">
        <v>10</v>
      </c>
      <c r="F224" s="2" t="s">
        <v>21</v>
      </c>
      <c r="G224" s="2">
        <v>15</v>
      </c>
      <c r="H224" s="4">
        <v>50</v>
      </c>
      <c r="I224" s="4">
        <v>750</v>
      </c>
      <c r="J224" s="2">
        <v>81</v>
      </c>
      <c r="K224" s="2">
        <v>4</v>
      </c>
      <c r="L224" s="2">
        <v>16</v>
      </c>
      <c r="M224" s="17" t="s">
        <v>22</v>
      </c>
      <c r="P224" s="179"/>
      <c r="Q224" s="174"/>
      <c r="R224" s="174"/>
      <c r="S224" s="174"/>
      <c r="T224" s="174"/>
      <c r="U224" s="183"/>
      <c r="V224" s="184"/>
      <c r="W224" s="184"/>
      <c r="X224" s="185"/>
    </row>
    <row r="225" spans="1:29" x14ac:dyDescent="0.3">
      <c r="A225" s="16" t="s">
        <v>254</v>
      </c>
      <c r="B225" s="3">
        <v>46074</v>
      </c>
      <c r="C225" s="2" t="s">
        <v>27</v>
      </c>
      <c r="D225" s="2" t="s">
        <v>24</v>
      </c>
      <c r="E225" s="2" t="s">
        <v>24</v>
      </c>
      <c r="F225" s="2" t="s">
        <v>25</v>
      </c>
      <c r="G225" s="2">
        <v>88</v>
      </c>
      <c r="H225" s="4">
        <v>10</v>
      </c>
      <c r="I225" s="4">
        <v>880</v>
      </c>
      <c r="J225" s="2">
        <v>94</v>
      </c>
      <c r="K225" s="2">
        <v>3</v>
      </c>
      <c r="L225" s="2">
        <v>13</v>
      </c>
      <c r="M225" s="17" t="s">
        <v>22</v>
      </c>
      <c r="P225" s="152" t="s">
        <v>698</v>
      </c>
      <c r="Q225" s="153"/>
      <c r="R225" s="153"/>
      <c r="S225" s="153"/>
      <c r="T225" s="154"/>
      <c r="U225" s="172">
        <f>AVERAGE(Table1[Lead Days])</f>
        <v>11.098333333333333</v>
      </c>
      <c r="V225" s="172"/>
      <c r="W225" s="172"/>
      <c r="X225" s="173"/>
    </row>
    <row r="226" spans="1:29" x14ac:dyDescent="0.3">
      <c r="A226" s="16" t="s">
        <v>255</v>
      </c>
      <c r="B226" s="3">
        <v>46023</v>
      </c>
      <c r="C226" s="2" t="s">
        <v>30</v>
      </c>
      <c r="D226" s="2" t="s">
        <v>9</v>
      </c>
      <c r="E226" s="2" t="s">
        <v>16</v>
      </c>
      <c r="F226" s="2" t="s">
        <v>25</v>
      </c>
      <c r="G226" s="2">
        <v>40</v>
      </c>
      <c r="H226" s="4">
        <v>20</v>
      </c>
      <c r="I226" s="4">
        <v>800</v>
      </c>
      <c r="J226" s="2">
        <v>87</v>
      </c>
      <c r="K226" s="2">
        <v>5</v>
      </c>
      <c r="L226" s="2">
        <v>9</v>
      </c>
      <c r="M226" s="17" t="s">
        <v>22</v>
      </c>
      <c r="P226" s="155"/>
      <c r="Q226" s="156"/>
      <c r="R226" s="156"/>
      <c r="S226" s="156"/>
      <c r="T226" s="157"/>
      <c r="U226" s="172"/>
      <c r="V226" s="172"/>
      <c r="W226" s="172"/>
      <c r="X226" s="173"/>
    </row>
    <row r="227" spans="1:29" x14ac:dyDescent="0.3">
      <c r="A227" s="16" t="s">
        <v>256</v>
      </c>
      <c r="B227" s="3">
        <v>46035</v>
      </c>
      <c r="C227" s="2" t="s">
        <v>27</v>
      </c>
      <c r="D227" s="2" t="s">
        <v>24</v>
      </c>
      <c r="E227" s="2" t="s">
        <v>42</v>
      </c>
      <c r="F227" s="2" t="s">
        <v>25</v>
      </c>
      <c r="G227" s="2">
        <v>88</v>
      </c>
      <c r="H227" s="4">
        <v>50</v>
      </c>
      <c r="I227" s="4">
        <v>4400</v>
      </c>
      <c r="J227" s="2">
        <v>73</v>
      </c>
      <c r="K227" s="2">
        <v>4</v>
      </c>
      <c r="L227" s="2">
        <v>17</v>
      </c>
      <c r="M227" s="17" t="s">
        <v>22</v>
      </c>
      <c r="P227" s="179" t="s">
        <v>691</v>
      </c>
      <c r="Q227" s="174"/>
      <c r="R227" s="174"/>
      <c r="S227" s="174"/>
      <c r="T227" s="174"/>
      <c r="U227" s="172" t="s">
        <v>694</v>
      </c>
      <c r="V227" s="172"/>
      <c r="W227" s="172"/>
      <c r="X227" s="173"/>
    </row>
    <row r="228" spans="1:29" ht="15" thickBot="1" x14ac:dyDescent="0.35">
      <c r="A228" s="16" t="s">
        <v>257</v>
      </c>
      <c r="B228" s="3">
        <v>46188</v>
      </c>
      <c r="C228" s="2" t="s">
        <v>35</v>
      </c>
      <c r="D228" s="2" t="s">
        <v>15</v>
      </c>
      <c r="E228" s="2" t="s">
        <v>10</v>
      </c>
      <c r="F228" s="2" t="s">
        <v>11</v>
      </c>
      <c r="G228" s="2">
        <v>31</v>
      </c>
      <c r="H228" s="4">
        <v>10</v>
      </c>
      <c r="I228" s="4">
        <v>310</v>
      </c>
      <c r="J228" s="2">
        <v>98</v>
      </c>
      <c r="K228" s="2">
        <v>2</v>
      </c>
      <c r="L228" s="2">
        <v>15</v>
      </c>
      <c r="M228" s="17" t="s">
        <v>22</v>
      </c>
      <c r="P228" s="186"/>
      <c r="Q228" s="187"/>
      <c r="R228" s="187"/>
      <c r="S228" s="187"/>
      <c r="T228" s="187"/>
      <c r="U228" s="188"/>
      <c r="V228" s="188"/>
      <c r="W228" s="188"/>
      <c r="X228" s="189"/>
    </row>
    <row r="229" spans="1:29" x14ac:dyDescent="0.3">
      <c r="A229" s="16" t="s">
        <v>258</v>
      </c>
      <c r="B229" s="3">
        <v>46128</v>
      </c>
      <c r="C229" s="2" t="s">
        <v>8</v>
      </c>
      <c r="D229" s="2" t="s">
        <v>9</v>
      </c>
      <c r="E229" s="2" t="s">
        <v>20</v>
      </c>
      <c r="F229" s="2" t="s">
        <v>21</v>
      </c>
      <c r="G229" s="2">
        <v>51</v>
      </c>
      <c r="H229" s="4">
        <v>5</v>
      </c>
      <c r="I229" s="4">
        <v>255</v>
      </c>
      <c r="J229" s="2">
        <v>98</v>
      </c>
      <c r="K229" s="2">
        <v>2</v>
      </c>
      <c r="L229" s="2">
        <v>18</v>
      </c>
      <c r="M229" s="17" t="s">
        <v>22</v>
      </c>
      <c r="P229" s="196" t="s">
        <v>678</v>
      </c>
      <c r="Q229" s="197"/>
      <c r="R229" s="197"/>
      <c r="S229" s="197"/>
      <c r="T229" s="198"/>
      <c r="U229" s="202">
        <f>COUNTIF(Table1[Status],"Pending")</f>
        <v>95</v>
      </c>
      <c r="V229" s="202"/>
      <c r="W229" s="202"/>
      <c r="X229" s="203"/>
    </row>
    <row r="230" spans="1:29" ht="15.6" x14ac:dyDescent="0.3">
      <c r="A230" s="16" t="s">
        <v>259</v>
      </c>
      <c r="B230" s="3">
        <v>46038</v>
      </c>
      <c r="C230" s="2" t="s">
        <v>40</v>
      </c>
      <c r="D230" s="2" t="s">
        <v>24</v>
      </c>
      <c r="E230" s="2" t="s">
        <v>10</v>
      </c>
      <c r="F230" s="2" t="s">
        <v>17</v>
      </c>
      <c r="G230" s="2">
        <v>73</v>
      </c>
      <c r="H230" s="4">
        <v>250</v>
      </c>
      <c r="I230" s="4">
        <v>18250</v>
      </c>
      <c r="J230" s="2">
        <v>73</v>
      </c>
      <c r="K230" s="2">
        <v>3</v>
      </c>
      <c r="L230" s="2">
        <v>15</v>
      </c>
      <c r="M230" s="17" t="s">
        <v>22</v>
      </c>
      <c r="P230" s="199"/>
      <c r="Q230" s="200"/>
      <c r="R230" s="200"/>
      <c r="S230" s="200"/>
      <c r="T230" s="201"/>
      <c r="U230" s="172"/>
      <c r="V230" s="172"/>
      <c r="W230" s="172"/>
      <c r="X230" s="173"/>
      <c r="AC230" s="63"/>
    </row>
    <row r="231" spans="1:29" x14ac:dyDescent="0.3">
      <c r="A231" s="16" t="s">
        <v>260</v>
      </c>
      <c r="B231" s="3">
        <v>46195</v>
      </c>
      <c r="C231" s="2" t="s">
        <v>27</v>
      </c>
      <c r="D231" s="2" t="s">
        <v>9</v>
      </c>
      <c r="E231" s="2" t="s">
        <v>24</v>
      </c>
      <c r="F231" s="2" t="s">
        <v>21</v>
      </c>
      <c r="G231" s="2">
        <v>63</v>
      </c>
      <c r="H231" s="4">
        <v>50</v>
      </c>
      <c r="I231" s="4">
        <v>3150</v>
      </c>
      <c r="J231" s="2">
        <v>83</v>
      </c>
      <c r="K231" s="2">
        <v>5</v>
      </c>
      <c r="L231" s="2">
        <v>3</v>
      </c>
      <c r="M231" s="17" t="s">
        <v>22</v>
      </c>
      <c r="P231" s="190" t="s">
        <v>679</v>
      </c>
      <c r="Q231" s="191"/>
      <c r="R231" s="191"/>
      <c r="S231" s="191"/>
      <c r="T231" s="192"/>
      <c r="U231" s="172">
        <f>COUNTIF(Table1[Status],"Completed")</f>
        <v>482</v>
      </c>
      <c r="V231" s="172"/>
      <c r="W231" s="172"/>
      <c r="X231" s="173"/>
    </row>
    <row r="232" spans="1:29" x14ac:dyDescent="0.3">
      <c r="A232" s="16" t="s">
        <v>261</v>
      </c>
      <c r="B232" s="3">
        <v>46137</v>
      </c>
      <c r="C232" s="2" t="s">
        <v>8</v>
      </c>
      <c r="D232" s="2" t="s">
        <v>19</v>
      </c>
      <c r="E232" s="2" t="s">
        <v>10</v>
      </c>
      <c r="F232" s="2" t="s">
        <v>21</v>
      </c>
      <c r="G232" s="2">
        <v>30</v>
      </c>
      <c r="H232" s="4">
        <v>5</v>
      </c>
      <c r="I232" s="4">
        <v>150</v>
      </c>
      <c r="J232" s="2">
        <v>79</v>
      </c>
      <c r="K232" s="2">
        <v>5</v>
      </c>
      <c r="L232" s="2">
        <v>18</v>
      </c>
      <c r="M232" s="17" t="s">
        <v>22</v>
      </c>
      <c r="P232" s="199"/>
      <c r="Q232" s="200"/>
      <c r="R232" s="200"/>
      <c r="S232" s="200"/>
      <c r="T232" s="201"/>
      <c r="U232" s="172"/>
      <c r="V232" s="172"/>
      <c r="W232" s="172"/>
      <c r="X232" s="173"/>
    </row>
    <row r="233" spans="1:29" x14ac:dyDescent="0.3">
      <c r="A233" s="16" t="s">
        <v>262</v>
      </c>
      <c r="B233" s="3">
        <v>46188</v>
      </c>
      <c r="C233" s="2" t="s">
        <v>27</v>
      </c>
      <c r="D233" s="2" t="s">
        <v>24</v>
      </c>
      <c r="E233" s="2" t="s">
        <v>24</v>
      </c>
      <c r="F233" s="2" t="s">
        <v>31</v>
      </c>
      <c r="G233" s="2">
        <v>63</v>
      </c>
      <c r="H233" s="4">
        <v>100</v>
      </c>
      <c r="I233" s="4">
        <v>6300</v>
      </c>
      <c r="J233" s="2">
        <v>72</v>
      </c>
      <c r="K233" s="2">
        <v>5</v>
      </c>
      <c r="L233" s="2">
        <v>12</v>
      </c>
      <c r="M233" s="17" t="s">
        <v>22</v>
      </c>
      <c r="P233" s="190" t="s">
        <v>680</v>
      </c>
      <c r="Q233" s="191"/>
      <c r="R233" s="191"/>
      <c r="S233" s="191"/>
      <c r="T233" s="192"/>
      <c r="U233" s="172">
        <f>COUNTIF(Table1[Status],"Cancelled")</f>
        <v>23</v>
      </c>
      <c r="V233" s="172"/>
      <c r="W233" s="172"/>
      <c r="X233" s="173"/>
    </row>
    <row r="234" spans="1:29" ht="15" thickBot="1" x14ac:dyDescent="0.35">
      <c r="A234" s="16" t="s">
        <v>263</v>
      </c>
      <c r="B234" s="3">
        <v>46086</v>
      </c>
      <c r="C234" s="2" t="s">
        <v>27</v>
      </c>
      <c r="D234" s="2" t="s">
        <v>9</v>
      </c>
      <c r="E234" s="2" t="s">
        <v>16</v>
      </c>
      <c r="F234" s="2" t="s">
        <v>11</v>
      </c>
      <c r="G234" s="2">
        <v>82</v>
      </c>
      <c r="H234" s="4">
        <v>50</v>
      </c>
      <c r="I234" s="4">
        <v>4100</v>
      </c>
      <c r="J234" s="2">
        <v>97</v>
      </c>
      <c r="K234" s="2">
        <v>4</v>
      </c>
      <c r="L234" s="2">
        <v>7</v>
      </c>
      <c r="M234" s="17" t="s">
        <v>22</v>
      </c>
      <c r="P234" s="193"/>
      <c r="Q234" s="194"/>
      <c r="R234" s="194"/>
      <c r="S234" s="194"/>
      <c r="T234" s="195"/>
      <c r="U234" s="188"/>
      <c r="V234" s="188"/>
      <c r="W234" s="188"/>
      <c r="X234" s="189"/>
    </row>
    <row r="235" spans="1:29" x14ac:dyDescent="0.3">
      <c r="A235" s="16" t="s">
        <v>264</v>
      </c>
      <c r="B235" s="3">
        <v>46139</v>
      </c>
      <c r="C235" s="2" t="s">
        <v>8</v>
      </c>
      <c r="D235" s="2" t="s">
        <v>28</v>
      </c>
      <c r="E235" s="2" t="s">
        <v>20</v>
      </c>
      <c r="F235" s="2" t="s">
        <v>31</v>
      </c>
      <c r="G235" s="2">
        <v>52</v>
      </c>
      <c r="H235" s="4">
        <v>5</v>
      </c>
      <c r="I235" s="4">
        <v>260</v>
      </c>
      <c r="J235" s="2">
        <v>75</v>
      </c>
      <c r="K235" s="2">
        <v>4</v>
      </c>
      <c r="L235" s="2">
        <v>7</v>
      </c>
      <c r="M235" s="17" t="s">
        <v>22</v>
      </c>
    </row>
    <row r="236" spans="1:29" x14ac:dyDescent="0.3">
      <c r="A236" s="16" t="s">
        <v>265</v>
      </c>
      <c r="B236" s="3">
        <v>46154</v>
      </c>
      <c r="C236" s="2" t="s">
        <v>40</v>
      </c>
      <c r="D236" s="2" t="s">
        <v>15</v>
      </c>
      <c r="E236" s="2" t="s">
        <v>42</v>
      </c>
      <c r="F236" s="2" t="s">
        <v>25</v>
      </c>
      <c r="G236" s="2">
        <v>10</v>
      </c>
      <c r="H236" s="4">
        <v>50</v>
      </c>
      <c r="I236" s="4">
        <v>500</v>
      </c>
      <c r="J236" s="2">
        <v>99</v>
      </c>
      <c r="K236" s="2">
        <v>3</v>
      </c>
      <c r="L236" s="2">
        <v>12</v>
      </c>
      <c r="M236" s="17" t="s">
        <v>22</v>
      </c>
    </row>
    <row r="237" spans="1:29" x14ac:dyDescent="0.3">
      <c r="A237" s="16" t="s">
        <v>266</v>
      </c>
      <c r="B237" s="3">
        <v>46198</v>
      </c>
      <c r="C237" s="2" t="s">
        <v>27</v>
      </c>
      <c r="D237" s="2" t="s">
        <v>9</v>
      </c>
      <c r="E237" s="2" t="s">
        <v>42</v>
      </c>
      <c r="F237" s="2" t="s">
        <v>11</v>
      </c>
      <c r="G237" s="2">
        <v>58</v>
      </c>
      <c r="H237" s="4">
        <v>5</v>
      </c>
      <c r="I237" s="4">
        <v>290</v>
      </c>
      <c r="J237" s="2">
        <v>78</v>
      </c>
      <c r="K237" s="2">
        <v>2</v>
      </c>
      <c r="L237" s="2">
        <v>6</v>
      </c>
      <c r="M237" s="17" t="s">
        <v>32</v>
      </c>
    </row>
    <row r="238" spans="1:29" ht="21" x14ac:dyDescent="0.4">
      <c r="A238" s="16" t="s">
        <v>267</v>
      </c>
      <c r="B238" s="3">
        <v>46155</v>
      </c>
      <c r="C238" s="2" t="s">
        <v>14</v>
      </c>
      <c r="D238" s="2" t="s">
        <v>19</v>
      </c>
      <c r="E238" s="2" t="s">
        <v>16</v>
      </c>
      <c r="F238" s="2" t="s">
        <v>21</v>
      </c>
      <c r="G238" s="2">
        <v>85</v>
      </c>
      <c r="H238" s="4">
        <v>250</v>
      </c>
      <c r="I238" s="4">
        <v>21250</v>
      </c>
      <c r="J238" s="2">
        <v>92</v>
      </c>
      <c r="K238" s="2">
        <v>2</v>
      </c>
      <c r="L238" s="2">
        <v>10</v>
      </c>
      <c r="M238" s="17" t="s">
        <v>22</v>
      </c>
      <c r="P238" s="107" t="s">
        <v>737</v>
      </c>
      <c r="Q238" s="107"/>
      <c r="R238" s="107"/>
      <c r="S238" s="107"/>
      <c r="T238" s="107"/>
      <c r="U238" s="107"/>
      <c r="V238" s="107"/>
      <c r="W238" s="107"/>
      <c r="X238" s="107"/>
      <c r="AA238" s="59"/>
    </row>
    <row r="239" spans="1:29" ht="32.4" customHeight="1" x14ac:dyDescent="0.3">
      <c r="A239" s="16" t="s">
        <v>268</v>
      </c>
      <c r="B239" s="3">
        <v>46028</v>
      </c>
      <c r="C239" s="2" t="s">
        <v>27</v>
      </c>
      <c r="D239" s="2" t="s">
        <v>15</v>
      </c>
      <c r="E239" s="2" t="s">
        <v>42</v>
      </c>
      <c r="F239" s="2" t="s">
        <v>25</v>
      </c>
      <c r="G239" s="2">
        <v>96</v>
      </c>
      <c r="H239" s="4">
        <v>10</v>
      </c>
      <c r="I239" s="4">
        <v>960</v>
      </c>
      <c r="J239" s="2">
        <v>99</v>
      </c>
      <c r="K239" s="2">
        <v>2</v>
      </c>
      <c r="L239" s="2">
        <v>15</v>
      </c>
      <c r="M239" s="17" t="s">
        <v>32</v>
      </c>
      <c r="P239" s="108" t="s">
        <v>729</v>
      </c>
      <c r="Q239" s="108"/>
      <c r="R239" s="108"/>
      <c r="S239" s="61" t="s">
        <v>14</v>
      </c>
      <c r="T239" s="61" t="s">
        <v>8</v>
      </c>
      <c r="U239" s="61" t="s">
        <v>40</v>
      </c>
      <c r="V239" s="61" t="s">
        <v>30</v>
      </c>
      <c r="W239" s="61" t="s">
        <v>35</v>
      </c>
      <c r="X239" s="61" t="s">
        <v>27</v>
      </c>
      <c r="AA239" s="11"/>
    </row>
    <row r="240" spans="1:29" ht="18" x14ac:dyDescent="0.35">
      <c r="A240" s="16" t="s">
        <v>269</v>
      </c>
      <c r="B240" s="3">
        <v>46027</v>
      </c>
      <c r="C240" s="2" t="s">
        <v>14</v>
      </c>
      <c r="D240" s="2" t="s">
        <v>9</v>
      </c>
      <c r="E240" s="2" t="s">
        <v>10</v>
      </c>
      <c r="F240" s="2" t="s">
        <v>25</v>
      </c>
      <c r="G240" s="2">
        <v>15</v>
      </c>
      <c r="H240" s="4">
        <v>250</v>
      </c>
      <c r="I240" s="4">
        <v>3750</v>
      </c>
      <c r="J240" s="2">
        <v>93</v>
      </c>
      <c r="K240" s="2">
        <v>4</v>
      </c>
      <c r="L240" s="2">
        <v>18</v>
      </c>
      <c r="M240" s="17" t="s">
        <v>22</v>
      </c>
      <c r="P240" s="109" t="s">
        <v>725</v>
      </c>
      <c r="Q240" s="109"/>
      <c r="R240" s="109"/>
      <c r="S240" s="62">
        <v>23</v>
      </c>
      <c r="T240" s="60">
        <v>21</v>
      </c>
      <c r="U240" s="60">
        <v>18</v>
      </c>
      <c r="V240" s="60">
        <v>14</v>
      </c>
      <c r="W240" s="60">
        <v>13</v>
      </c>
      <c r="X240" s="64">
        <v>11</v>
      </c>
      <c r="AA240" s="63"/>
    </row>
    <row r="241" spans="1:27" ht="18" x14ac:dyDescent="0.35">
      <c r="A241" s="16" t="s">
        <v>270</v>
      </c>
      <c r="B241" s="3">
        <v>46083</v>
      </c>
      <c r="C241" s="2" t="s">
        <v>40</v>
      </c>
      <c r="D241" s="2" t="s">
        <v>15</v>
      </c>
      <c r="E241" s="2" t="s">
        <v>20</v>
      </c>
      <c r="F241" s="2" t="s">
        <v>31</v>
      </c>
      <c r="G241" s="2">
        <v>64</v>
      </c>
      <c r="H241" s="4">
        <v>5</v>
      </c>
      <c r="I241" s="4">
        <v>320</v>
      </c>
      <c r="J241" s="2">
        <v>94</v>
      </c>
      <c r="K241" s="2">
        <v>4</v>
      </c>
      <c r="L241" s="2">
        <v>8</v>
      </c>
      <c r="M241" s="17" t="s">
        <v>22</v>
      </c>
      <c r="P241" s="109" t="s">
        <v>726</v>
      </c>
      <c r="Q241" s="109"/>
      <c r="R241" s="109"/>
      <c r="S241" s="62">
        <v>85.7</v>
      </c>
      <c r="T241" s="60">
        <v>84.93</v>
      </c>
      <c r="U241" s="60">
        <v>84.5</v>
      </c>
      <c r="V241" s="64">
        <v>84.03</v>
      </c>
      <c r="W241" s="60">
        <v>84.4</v>
      </c>
      <c r="X241" s="60">
        <v>85.12</v>
      </c>
      <c r="AA241" s="63"/>
    </row>
    <row r="242" spans="1:27" ht="18" x14ac:dyDescent="0.35">
      <c r="A242" s="16" t="s">
        <v>271</v>
      </c>
      <c r="B242" s="3">
        <v>46190</v>
      </c>
      <c r="C242" s="2" t="s">
        <v>27</v>
      </c>
      <c r="D242" s="2" t="s">
        <v>9</v>
      </c>
      <c r="E242" s="2" t="s">
        <v>16</v>
      </c>
      <c r="F242" s="2" t="s">
        <v>25</v>
      </c>
      <c r="G242" s="2">
        <v>64</v>
      </c>
      <c r="H242" s="4">
        <v>20</v>
      </c>
      <c r="I242" s="4">
        <v>1280</v>
      </c>
      <c r="J242" s="2">
        <v>98</v>
      </c>
      <c r="K242" s="2">
        <v>4</v>
      </c>
      <c r="L242" s="2">
        <v>2</v>
      </c>
      <c r="M242" s="17" t="s">
        <v>22</v>
      </c>
      <c r="P242" s="109" t="s">
        <v>727</v>
      </c>
      <c r="Q242" s="109"/>
      <c r="R242" s="109"/>
      <c r="S242" s="64">
        <v>3.33</v>
      </c>
      <c r="T242" s="60">
        <v>3.4</v>
      </c>
      <c r="U242" s="62">
        <v>3.61</v>
      </c>
      <c r="V242" s="60">
        <v>3.51</v>
      </c>
      <c r="W242" s="60">
        <v>3.57</v>
      </c>
      <c r="X242" s="60">
        <v>3.45</v>
      </c>
      <c r="Y242" s="11"/>
      <c r="AA242" s="63"/>
    </row>
    <row r="243" spans="1:27" ht="18" x14ac:dyDescent="0.35">
      <c r="A243" s="16" t="s">
        <v>272</v>
      </c>
      <c r="B243" s="3">
        <v>46131</v>
      </c>
      <c r="C243" s="2" t="s">
        <v>40</v>
      </c>
      <c r="D243" s="2" t="s">
        <v>19</v>
      </c>
      <c r="E243" s="2" t="s">
        <v>42</v>
      </c>
      <c r="F243" s="2" t="s">
        <v>31</v>
      </c>
      <c r="G243" s="2">
        <v>89</v>
      </c>
      <c r="H243" s="4">
        <v>250</v>
      </c>
      <c r="I243" s="4">
        <v>22250</v>
      </c>
      <c r="J243" s="2">
        <v>87</v>
      </c>
      <c r="K243" s="2">
        <v>5</v>
      </c>
      <c r="L243" s="2">
        <v>20</v>
      </c>
      <c r="M243" s="17" t="s">
        <v>22</v>
      </c>
      <c r="P243" s="109" t="s">
        <v>728</v>
      </c>
      <c r="Q243" s="109"/>
      <c r="R243" s="109"/>
      <c r="S243" s="64">
        <v>12.058</v>
      </c>
      <c r="T243" s="60">
        <v>10.84</v>
      </c>
      <c r="U243" s="60">
        <v>11.77</v>
      </c>
      <c r="V243" s="60">
        <v>11.27</v>
      </c>
      <c r="W243" s="60">
        <v>10.26</v>
      </c>
      <c r="X243" s="62">
        <v>10.081</v>
      </c>
      <c r="Y243" s="11"/>
      <c r="AA243" s="63"/>
    </row>
    <row r="244" spans="1:27" ht="15.6" x14ac:dyDescent="0.3">
      <c r="A244" s="16" t="s">
        <v>273</v>
      </c>
      <c r="B244" s="3">
        <v>46128</v>
      </c>
      <c r="C244" s="2" t="s">
        <v>14</v>
      </c>
      <c r="D244" s="2" t="s">
        <v>28</v>
      </c>
      <c r="E244" s="2" t="s">
        <v>16</v>
      </c>
      <c r="F244" s="2" t="s">
        <v>17</v>
      </c>
      <c r="G244" s="2">
        <v>74</v>
      </c>
      <c r="H244" s="4">
        <v>5</v>
      </c>
      <c r="I244" s="4">
        <v>370</v>
      </c>
      <c r="J244" s="2">
        <v>81</v>
      </c>
      <c r="K244" s="2">
        <v>2</v>
      </c>
      <c r="L244" s="2">
        <v>11</v>
      </c>
      <c r="M244" s="17" t="s">
        <v>22</v>
      </c>
      <c r="Q244" s="11"/>
      <c r="R244" s="11"/>
      <c r="S244" s="11"/>
      <c r="T244" s="11"/>
      <c r="U244" s="11"/>
      <c r="V244" s="11"/>
      <c r="W244" s="11"/>
      <c r="X244" s="11"/>
      <c r="Y244" s="11"/>
    </row>
    <row r="245" spans="1:27" ht="15.6" x14ac:dyDescent="0.3">
      <c r="A245" s="16" t="s">
        <v>274</v>
      </c>
      <c r="B245" s="3">
        <v>46082</v>
      </c>
      <c r="C245" s="2" t="s">
        <v>27</v>
      </c>
      <c r="D245" s="2" t="s">
        <v>9</v>
      </c>
      <c r="E245" s="2" t="s">
        <v>10</v>
      </c>
      <c r="F245" s="2" t="s">
        <v>21</v>
      </c>
      <c r="G245" s="2">
        <v>55</v>
      </c>
      <c r="H245" s="4">
        <v>10</v>
      </c>
      <c r="I245" s="4">
        <v>550</v>
      </c>
      <c r="J245" s="2">
        <v>72</v>
      </c>
      <c r="K245" s="2">
        <v>3</v>
      </c>
      <c r="L245" s="2">
        <v>17</v>
      </c>
      <c r="M245" s="17" t="s">
        <v>32</v>
      </c>
      <c r="Q245" s="11"/>
      <c r="R245" s="11"/>
      <c r="S245" s="11"/>
      <c r="T245" s="11"/>
      <c r="U245" s="11"/>
      <c r="V245" s="11"/>
      <c r="W245" s="11"/>
      <c r="X245" s="11"/>
      <c r="Y245" s="11"/>
    </row>
    <row r="246" spans="1:27" ht="15.6" x14ac:dyDescent="0.3">
      <c r="A246" s="16" t="s">
        <v>275</v>
      </c>
      <c r="B246" s="3">
        <v>46120</v>
      </c>
      <c r="C246" s="2" t="s">
        <v>14</v>
      </c>
      <c r="D246" s="2" t="s">
        <v>9</v>
      </c>
      <c r="E246" s="2" t="s">
        <v>20</v>
      </c>
      <c r="F246" s="2" t="s">
        <v>17</v>
      </c>
      <c r="G246" s="2">
        <v>92</v>
      </c>
      <c r="H246" s="4">
        <v>10</v>
      </c>
      <c r="I246" s="4">
        <v>920</v>
      </c>
      <c r="J246" s="2">
        <v>98</v>
      </c>
      <c r="K246" s="2">
        <v>4</v>
      </c>
      <c r="L246" s="2">
        <v>20</v>
      </c>
      <c r="M246" s="17" t="s">
        <v>32</v>
      </c>
      <c r="Q246" s="11"/>
      <c r="R246" s="11"/>
      <c r="S246" s="11"/>
      <c r="T246" s="11"/>
      <c r="U246" s="11"/>
      <c r="V246" s="11"/>
      <c r="W246" s="11"/>
      <c r="X246" s="11"/>
      <c r="Y246" s="11"/>
      <c r="AA246" s="58"/>
    </row>
    <row r="247" spans="1:27" ht="21" x14ac:dyDescent="0.4">
      <c r="A247" s="16" t="s">
        <v>276</v>
      </c>
      <c r="B247" s="3">
        <v>46154</v>
      </c>
      <c r="C247" s="2" t="s">
        <v>40</v>
      </c>
      <c r="D247" s="2" t="s">
        <v>19</v>
      </c>
      <c r="E247" s="2" t="s">
        <v>42</v>
      </c>
      <c r="F247" s="2" t="s">
        <v>21</v>
      </c>
      <c r="G247" s="2">
        <v>28</v>
      </c>
      <c r="H247" s="4">
        <v>20</v>
      </c>
      <c r="I247" s="4">
        <v>560</v>
      </c>
      <c r="J247" s="2">
        <v>79</v>
      </c>
      <c r="K247" s="2">
        <v>3</v>
      </c>
      <c r="L247" s="2">
        <v>15</v>
      </c>
      <c r="M247" s="17" t="s">
        <v>22</v>
      </c>
      <c r="P247" s="107" t="s">
        <v>738</v>
      </c>
      <c r="Q247" s="107"/>
      <c r="R247" s="107"/>
      <c r="S247" s="107"/>
      <c r="T247" s="107"/>
      <c r="U247" s="107"/>
      <c r="V247" s="107"/>
      <c r="W247" s="107"/>
      <c r="X247" s="107"/>
      <c r="Y247" s="11"/>
      <c r="AA247" s="58"/>
    </row>
    <row r="248" spans="1:27" ht="15.6" x14ac:dyDescent="0.3">
      <c r="A248" s="16" t="s">
        <v>277</v>
      </c>
      <c r="B248" s="3">
        <v>46118</v>
      </c>
      <c r="C248" s="2" t="s">
        <v>35</v>
      </c>
      <c r="D248" s="2" t="s">
        <v>9</v>
      </c>
      <c r="E248" s="2" t="s">
        <v>16</v>
      </c>
      <c r="F248" s="2" t="s">
        <v>21</v>
      </c>
      <c r="G248" s="2">
        <v>6</v>
      </c>
      <c r="H248" s="4">
        <v>10</v>
      </c>
      <c r="I248" s="4">
        <v>60</v>
      </c>
      <c r="J248" s="2">
        <v>95</v>
      </c>
      <c r="K248" s="2">
        <v>3</v>
      </c>
      <c r="L248" s="2">
        <v>16</v>
      </c>
      <c r="M248" s="17" t="s">
        <v>22</v>
      </c>
      <c r="P248" s="110" t="s">
        <v>733</v>
      </c>
      <c r="Q248" s="110"/>
      <c r="R248" s="110"/>
      <c r="S248" s="83" t="s">
        <v>8</v>
      </c>
      <c r="T248" s="83" t="s">
        <v>35</v>
      </c>
      <c r="U248" s="83" t="s">
        <v>27</v>
      </c>
      <c r="V248" s="83" t="s">
        <v>30</v>
      </c>
      <c r="W248" s="83" t="s">
        <v>40</v>
      </c>
      <c r="X248" s="83" t="s">
        <v>14</v>
      </c>
      <c r="Y248" s="11"/>
      <c r="AA248" s="58"/>
    </row>
    <row r="249" spans="1:27" ht="15.6" x14ac:dyDescent="0.3">
      <c r="A249" s="16" t="s">
        <v>278</v>
      </c>
      <c r="B249" s="3">
        <v>46099</v>
      </c>
      <c r="C249" s="2" t="s">
        <v>40</v>
      </c>
      <c r="D249" s="2" t="s">
        <v>19</v>
      </c>
      <c r="E249" s="2" t="s">
        <v>42</v>
      </c>
      <c r="F249" s="2" t="s">
        <v>21</v>
      </c>
      <c r="G249" s="2">
        <v>34</v>
      </c>
      <c r="H249" s="4">
        <v>250</v>
      </c>
      <c r="I249" s="4">
        <v>8500</v>
      </c>
      <c r="J249" s="2">
        <v>83</v>
      </c>
      <c r="K249" s="2">
        <v>2</v>
      </c>
      <c r="L249" s="2">
        <v>18</v>
      </c>
      <c r="M249" s="17" t="s">
        <v>32</v>
      </c>
      <c r="P249" s="111" t="s">
        <v>739</v>
      </c>
      <c r="Q249" s="111"/>
      <c r="R249" s="111"/>
      <c r="S249" s="2">
        <v>9</v>
      </c>
      <c r="T249" s="2">
        <v>10</v>
      </c>
      <c r="U249" s="2">
        <v>20</v>
      </c>
      <c r="V249" s="2">
        <v>16</v>
      </c>
      <c r="W249" s="2">
        <v>17</v>
      </c>
      <c r="X249" s="78">
        <v>23</v>
      </c>
      <c r="Y249" s="11"/>
      <c r="AA249" s="58"/>
    </row>
    <row r="250" spans="1:27" ht="15.6" x14ac:dyDescent="0.3">
      <c r="A250" s="16" t="s">
        <v>279</v>
      </c>
      <c r="B250" s="3">
        <v>46050</v>
      </c>
      <c r="C250" s="2" t="s">
        <v>40</v>
      </c>
      <c r="D250" s="2" t="s">
        <v>19</v>
      </c>
      <c r="E250" s="2" t="s">
        <v>20</v>
      </c>
      <c r="F250" s="2" t="s">
        <v>31</v>
      </c>
      <c r="G250" s="2">
        <v>35</v>
      </c>
      <c r="H250" s="4">
        <v>10</v>
      </c>
      <c r="I250" s="4">
        <v>350</v>
      </c>
      <c r="J250" s="2">
        <v>78</v>
      </c>
      <c r="K250" s="2">
        <v>3</v>
      </c>
      <c r="L250" s="2">
        <v>9</v>
      </c>
      <c r="M250" s="17" t="s">
        <v>22</v>
      </c>
      <c r="P250" s="111" t="s">
        <v>740</v>
      </c>
      <c r="Q250" s="111"/>
      <c r="R250" s="111"/>
      <c r="S250" s="2">
        <v>6</v>
      </c>
      <c r="T250" s="2">
        <v>1</v>
      </c>
      <c r="U250" s="2">
        <v>5</v>
      </c>
      <c r="V250" s="78">
        <v>8</v>
      </c>
      <c r="W250" s="2">
        <v>1</v>
      </c>
      <c r="X250" s="2">
        <v>2</v>
      </c>
      <c r="Y250" s="11"/>
      <c r="AA250" s="58"/>
    </row>
    <row r="251" spans="1:27" ht="16.2" thickBot="1" x14ac:dyDescent="0.35">
      <c r="A251" s="16" t="s">
        <v>280</v>
      </c>
      <c r="B251" s="3">
        <v>46143</v>
      </c>
      <c r="C251" s="2" t="s">
        <v>14</v>
      </c>
      <c r="D251" s="2" t="s">
        <v>9</v>
      </c>
      <c r="E251" s="2" t="s">
        <v>42</v>
      </c>
      <c r="F251" s="2" t="s">
        <v>17</v>
      </c>
      <c r="G251" s="2">
        <v>44</v>
      </c>
      <c r="H251" s="4">
        <v>20</v>
      </c>
      <c r="I251" s="4">
        <v>880</v>
      </c>
      <c r="J251" s="2">
        <v>93</v>
      </c>
      <c r="K251" s="2">
        <v>5</v>
      </c>
      <c r="L251" s="2">
        <v>7</v>
      </c>
      <c r="M251" s="17" t="s">
        <v>22</v>
      </c>
      <c r="P251" s="112" t="s">
        <v>741</v>
      </c>
      <c r="Q251" s="112"/>
      <c r="R251" s="112"/>
      <c r="S251" s="88">
        <v>90</v>
      </c>
      <c r="T251" s="88">
        <v>78</v>
      </c>
      <c r="U251" s="88">
        <v>61</v>
      </c>
      <c r="V251" s="89">
        <v>92</v>
      </c>
      <c r="W251" s="88">
        <v>83</v>
      </c>
      <c r="X251" s="88">
        <v>78</v>
      </c>
      <c r="Y251" s="11"/>
      <c r="AA251" s="58"/>
    </row>
    <row r="252" spans="1:27" ht="16.2" thickBot="1" x14ac:dyDescent="0.35">
      <c r="A252" s="16" t="s">
        <v>281</v>
      </c>
      <c r="B252" s="3">
        <v>46103</v>
      </c>
      <c r="C252" s="2" t="s">
        <v>27</v>
      </c>
      <c r="D252" s="2" t="s">
        <v>19</v>
      </c>
      <c r="E252" s="2" t="s">
        <v>16</v>
      </c>
      <c r="F252" s="2" t="s">
        <v>21</v>
      </c>
      <c r="G252" s="2">
        <v>25</v>
      </c>
      <c r="H252" s="4">
        <v>20</v>
      </c>
      <c r="I252" s="4">
        <v>500</v>
      </c>
      <c r="J252" s="2">
        <v>78</v>
      </c>
      <c r="K252" s="2">
        <v>4</v>
      </c>
      <c r="L252" s="2">
        <v>7</v>
      </c>
      <c r="M252" s="17" t="s">
        <v>22</v>
      </c>
      <c r="P252" s="105" t="s">
        <v>742</v>
      </c>
      <c r="Q252" s="105"/>
      <c r="R252" s="105"/>
      <c r="S252" s="86">
        <v>105</v>
      </c>
      <c r="T252" s="86">
        <v>89</v>
      </c>
      <c r="U252" s="86">
        <v>86</v>
      </c>
      <c r="V252" s="87">
        <v>116</v>
      </c>
      <c r="W252" s="86">
        <v>101</v>
      </c>
      <c r="X252" s="86">
        <v>103</v>
      </c>
      <c r="Y252" s="11"/>
      <c r="AA252" s="58"/>
    </row>
    <row r="253" spans="1:27" ht="15.6" x14ac:dyDescent="0.3">
      <c r="A253" s="16" t="s">
        <v>282</v>
      </c>
      <c r="B253" s="3">
        <v>46092</v>
      </c>
      <c r="C253" s="2" t="s">
        <v>27</v>
      </c>
      <c r="D253" s="2" t="s">
        <v>24</v>
      </c>
      <c r="E253" s="2" t="s">
        <v>20</v>
      </c>
      <c r="F253" s="2" t="s">
        <v>21</v>
      </c>
      <c r="G253" s="2">
        <v>90</v>
      </c>
      <c r="H253" s="4">
        <v>250</v>
      </c>
      <c r="I253" s="4">
        <v>22500</v>
      </c>
      <c r="J253" s="2">
        <v>86</v>
      </c>
      <c r="K253" s="2">
        <v>3</v>
      </c>
      <c r="L253" s="2">
        <v>9</v>
      </c>
      <c r="M253" s="17" t="s">
        <v>22</v>
      </c>
      <c r="P253" s="106" t="s">
        <v>743</v>
      </c>
      <c r="Q253" s="106"/>
      <c r="R253" s="106"/>
      <c r="S253" s="84">
        <f>S249/S252*100</f>
        <v>8.5714285714285712</v>
      </c>
      <c r="T253" s="84">
        <f t="shared" ref="T253:X253" si="0">T249/T252*100</f>
        <v>11.235955056179774</v>
      </c>
      <c r="U253" s="85">
        <f t="shared" si="0"/>
        <v>23.255813953488371</v>
      </c>
      <c r="V253" s="84">
        <f t="shared" si="0"/>
        <v>13.793103448275861</v>
      </c>
      <c r="W253" s="84">
        <f t="shared" si="0"/>
        <v>16.831683168316832</v>
      </c>
      <c r="X253" s="84">
        <f t="shared" si="0"/>
        <v>22.330097087378643</v>
      </c>
      <c r="Y253" s="11"/>
      <c r="AA253" s="58"/>
    </row>
    <row r="254" spans="1:27" ht="15.6" customHeight="1" x14ac:dyDescent="0.3">
      <c r="A254" s="16" t="s">
        <v>283</v>
      </c>
      <c r="B254" s="3">
        <v>46161</v>
      </c>
      <c r="C254" s="2" t="s">
        <v>8</v>
      </c>
      <c r="D254" s="2" t="s">
        <v>19</v>
      </c>
      <c r="E254" s="2" t="s">
        <v>42</v>
      </c>
      <c r="F254" s="2" t="s">
        <v>21</v>
      </c>
      <c r="G254" s="2">
        <v>43</v>
      </c>
      <c r="H254" s="4">
        <v>20</v>
      </c>
      <c r="I254" s="4">
        <v>860</v>
      </c>
      <c r="J254" s="2">
        <v>100</v>
      </c>
      <c r="K254" s="2">
        <v>2</v>
      </c>
      <c r="L254" s="2">
        <v>6</v>
      </c>
      <c r="M254" s="17" t="s">
        <v>22</v>
      </c>
      <c r="P254" s="104" t="s">
        <v>744</v>
      </c>
      <c r="Q254" s="104"/>
      <c r="R254" s="104"/>
      <c r="S254" s="80">
        <f>S250/S252*100</f>
        <v>5.7142857142857144</v>
      </c>
      <c r="T254" s="80">
        <f t="shared" ref="T254:X254" si="1">T250/T252*100</f>
        <v>1.1235955056179776</v>
      </c>
      <c r="U254" s="80">
        <f t="shared" si="1"/>
        <v>5.8139534883720927</v>
      </c>
      <c r="V254" s="81">
        <f t="shared" si="1"/>
        <v>6.8965517241379306</v>
      </c>
      <c r="W254" s="80">
        <f t="shared" si="1"/>
        <v>0.99009900990099009</v>
      </c>
      <c r="X254" s="80">
        <f t="shared" si="1"/>
        <v>1.9417475728155338</v>
      </c>
      <c r="Y254" s="11"/>
    </row>
    <row r="255" spans="1:27" ht="15.6" x14ac:dyDescent="0.3">
      <c r="A255" s="16" t="s">
        <v>284</v>
      </c>
      <c r="B255" s="3">
        <v>46191</v>
      </c>
      <c r="C255" s="2" t="s">
        <v>30</v>
      </c>
      <c r="D255" s="2" t="s">
        <v>15</v>
      </c>
      <c r="E255" s="2" t="s">
        <v>42</v>
      </c>
      <c r="F255" s="2" t="s">
        <v>25</v>
      </c>
      <c r="G255" s="2">
        <v>66</v>
      </c>
      <c r="H255" s="4">
        <v>50</v>
      </c>
      <c r="I255" s="4">
        <v>3300</v>
      </c>
      <c r="J255" s="2">
        <v>74</v>
      </c>
      <c r="K255" s="2">
        <v>3</v>
      </c>
      <c r="L255" s="2">
        <v>7</v>
      </c>
      <c r="M255" s="17" t="s">
        <v>22</v>
      </c>
      <c r="P255" s="104" t="s">
        <v>745</v>
      </c>
      <c r="Q255" s="104"/>
      <c r="R255" s="104"/>
      <c r="S255" s="80">
        <f>S251/S252*100</f>
        <v>85.714285714285708</v>
      </c>
      <c r="T255" s="81">
        <f t="shared" ref="T255:X255" si="2">T251/T252*100</f>
        <v>87.640449438202253</v>
      </c>
      <c r="U255" s="80">
        <f t="shared" si="2"/>
        <v>70.930232558139537</v>
      </c>
      <c r="V255" s="80">
        <f t="shared" si="2"/>
        <v>79.310344827586206</v>
      </c>
      <c r="W255" s="80">
        <f t="shared" si="2"/>
        <v>82.178217821782169</v>
      </c>
      <c r="X255" s="80">
        <f t="shared" si="2"/>
        <v>75.728155339805824</v>
      </c>
      <c r="Y255" s="11"/>
    </row>
    <row r="256" spans="1:27" ht="15.6" x14ac:dyDescent="0.3">
      <c r="A256" s="16" t="s">
        <v>285</v>
      </c>
      <c r="B256" s="3">
        <v>46134</v>
      </c>
      <c r="C256" s="2" t="s">
        <v>14</v>
      </c>
      <c r="D256" s="2" t="s">
        <v>9</v>
      </c>
      <c r="E256" s="2" t="s">
        <v>10</v>
      </c>
      <c r="F256" s="2" t="s">
        <v>21</v>
      </c>
      <c r="G256" s="2">
        <v>54</v>
      </c>
      <c r="H256" s="4">
        <v>20</v>
      </c>
      <c r="I256" s="4">
        <v>1080</v>
      </c>
      <c r="J256" s="2">
        <v>86</v>
      </c>
      <c r="K256" s="2">
        <v>4</v>
      </c>
      <c r="L256" s="2">
        <v>20</v>
      </c>
      <c r="M256" s="17" t="s">
        <v>22</v>
      </c>
      <c r="X256" s="11"/>
      <c r="Y256" s="11"/>
    </row>
    <row r="257" spans="1:31" ht="15.6" x14ac:dyDescent="0.3">
      <c r="A257" s="16" t="s">
        <v>286</v>
      </c>
      <c r="B257" s="3">
        <v>46069</v>
      </c>
      <c r="C257" s="2" t="s">
        <v>14</v>
      </c>
      <c r="D257" s="2" t="s">
        <v>19</v>
      </c>
      <c r="E257" s="2" t="s">
        <v>24</v>
      </c>
      <c r="F257" s="2" t="s">
        <v>11</v>
      </c>
      <c r="G257" s="2">
        <v>76</v>
      </c>
      <c r="H257" s="4">
        <v>20</v>
      </c>
      <c r="I257" s="4">
        <v>1520</v>
      </c>
      <c r="J257" s="2">
        <v>86</v>
      </c>
      <c r="K257" s="2">
        <v>5</v>
      </c>
      <c r="L257" s="2">
        <v>14</v>
      </c>
      <c r="M257" s="17" t="s">
        <v>22</v>
      </c>
      <c r="P257" s="11"/>
      <c r="Q257" s="11"/>
      <c r="R257" s="11"/>
      <c r="S257" s="11"/>
      <c r="T257" s="11"/>
      <c r="U257" s="11"/>
      <c r="V257" s="11"/>
      <c r="W257" s="11"/>
      <c r="X257" s="11"/>
      <c r="Y257" s="11"/>
    </row>
    <row r="258" spans="1:31" ht="15.6" x14ac:dyDescent="0.3">
      <c r="A258" s="16" t="s">
        <v>287</v>
      </c>
      <c r="B258" s="3">
        <v>46191</v>
      </c>
      <c r="C258" s="2" t="s">
        <v>30</v>
      </c>
      <c r="D258" s="2" t="s">
        <v>28</v>
      </c>
      <c r="E258" s="2" t="s">
        <v>16</v>
      </c>
      <c r="F258" s="2" t="s">
        <v>31</v>
      </c>
      <c r="G258" s="2">
        <v>72</v>
      </c>
      <c r="H258" s="4">
        <v>20</v>
      </c>
      <c r="I258" s="4">
        <v>1440</v>
      </c>
      <c r="J258" s="2">
        <v>99</v>
      </c>
      <c r="K258" s="2">
        <v>2</v>
      </c>
      <c r="L258" s="2">
        <v>7</v>
      </c>
      <c r="M258" s="17" t="s">
        <v>22</v>
      </c>
      <c r="P258" s="11"/>
      <c r="Q258" s="11"/>
      <c r="R258" s="11"/>
      <c r="S258" s="11"/>
      <c r="T258" s="11"/>
      <c r="U258" s="11"/>
      <c r="V258" s="11"/>
      <c r="W258" s="11"/>
      <c r="X258" s="11"/>
      <c r="Y258" s="11"/>
    </row>
    <row r="259" spans="1:31" ht="18" x14ac:dyDescent="0.35">
      <c r="A259" s="16" t="s">
        <v>288</v>
      </c>
      <c r="B259" s="3">
        <v>46156</v>
      </c>
      <c r="C259" s="2" t="s">
        <v>27</v>
      </c>
      <c r="D259" s="2" t="s">
        <v>15</v>
      </c>
      <c r="E259" s="2" t="s">
        <v>16</v>
      </c>
      <c r="F259" s="2" t="s">
        <v>17</v>
      </c>
      <c r="G259" s="2">
        <v>8</v>
      </c>
      <c r="H259" s="4">
        <v>5</v>
      </c>
      <c r="I259" s="4">
        <v>40</v>
      </c>
      <c r="J259" s="2">
        <v>80</v>
      </c>
      <c r="K259" s="2">
        <v>2</v>
      </c>
      <c r="L259" s="2">
        <v>13</v>
      </c>
      <c r="M259" s="17" t="s">
        <v>32</v>
      </c>
      <c r="P259" s="113" t="s">
        <v>697</v>
      </c>
      <c r="Q259" s="113"/>
      <c r="R259" s="11"/>
      <c r="S259" s="11"/>
      <c r="T259" s="11"/>
      <c r="U259" s="11"/>
      <c r="V259" s="11"/>
      <c r="W259" s="11"/>
      <c r="X259" s="11"/>
      <c r="Y259" s="11"/>
    </row>
    <row r="260" spans="1:31" ht="15.6" x14ac:dyDescent="0.3">
      <c r="A260" s="16" t="s">
        <v>289</v>
      </c>
      <c r="B260" s="3">
        <v>46126</v>
      </c>
      <c r="C260" s="2" t="s">
        <v>14</v>
      </c>
      <c r="D260" s="2" t="s">
        <v>28</v>
      </c>
      <c r="E260" s="2" t="s">
        <v>24</v>
      </c>
      <c r="F260" s="2" t="s">
        <v>21</v>
      </c>
      <c r="G260" s="2">
        <v>79</v>
      </c>
      <c r="H260" s="4">
        <v>10</v>
      </c>
      <c r="I260" s="4">
        <v>790</v>
      </c>
      <c r="J260" s="2">
        <v>86</v>
      </c>
      <c r="K260" s="2">
        <v>2</v>
      </c>
      <c r="L260" s="2">
        <v>16</v>
      </c>
      <c r="M260" s="17" t="s">
        <v>22</v>
      </c>
      <c r="Q260" s="11"/>
      <c r="R260" s="11"/>
      <c r="S260" s="11"/>
      <c r="T260" s="11"/>
      <c r="U260" s="11"/>
      <c r="V260" s="11"/>
      <c r="W260" s="11"/>
      <c r="X260" s="11"/>
      <c r="Y260" s="11"/>
    </row>
    <row r="261" spans="1:31" ht="14.4" customHeight="1" x14ac:dyDescent="0.3">
      <c r="A261" s="16" t="s">
        <v>290</v>
      </c>
      <c r="B261" s="3">
        <v>46116</v>
      </c>
      <c r="C261" s="2" t="s">
        <v>14</v>
      </c>
      <c r="D261" s="2" t="s">
        <v>19</v>
      </c>
      <c r="E261" s="2" t="s">
        <v>10</v>
      </c>
      <c r="F261" s="2" t="s">
        <v>31</v>
      </c>
      <c r="G261" s="2">
        <v>21</v>
      </c>
      <c r="H261" s="4">
        <v>20</v>
      </c>
      <c r="I261" s="4">
        <v>420</v>
      </c>
      <c r="J261" s="2">
        <v>77</v>
      </c>
      <c r="K261" s="2">
        <v>3</v>
      </c>
      <c r="L261" s="2">
        <v>15</v>
      </c>
      <c r="M261" s="17" t="s">
        <v>22</v>
      </c>
      <c r="P261" s="65"/>
      <c r="Q261" s="65"/>
      <c r="R261" s="65"/>
      <c r="S261" s="65"/>
      <c r="T261" s="65"/>
      <c r="U261" s="65"/>
      <c r="V261" s="65"/>
      <c r="W261" s="65"/>
      <c r="X261" s="65"/>
      <c r="Y261" s="65"/>
      <c r="Z261" s="65"/>
    </row>
    <row r="262" spans="1:31" x14ac:dyDescent="0.3">
      <c r="A262" s="16" t="s">
        <v>291</v>
      </c>
      <c r="B262" s="3">
        <v>46147</v>
      </c>
      <c r="C262" s="2" t="s">
        <v>8</v>
      </c>
      <c r="D262" s="2" t="s">
        <v>9</v>
      </c>
      <c r="E262" s="2" t="s">
        <v>16</v>
      </c>
      <c r="F262" s="2" t="s">
        <v>17</v>
      </c>
      <c r="G262" s="2">
        <v>84</v>
      </c>
      <c r="H262" s="4">
        <v>10</v>
      </c>
      <c r="I262" s="4">
        <v>840</v>
      </c>
      <c r="J262" s="2">
        <v>79</v>
      </c>
      <c r="K262" s="2">
        <v>3</v>
      </c>
      <c r="L262" s="2">
        <v>19</v>
      </c>
      <c r="M262" s="17" t="s">
        <v>22</v>
      </c>
      <c r="P262" s="142" t="s">
        <v>746</v>
      </c>
      <c r="Q262" s="142"/>
      <c r="R262" s="142"/>
      <c r="S262" s="142"/>
      <c r="T262" s="142"/>
      <c r="U262" s="142"/>
      <c r="V262" s="142"/>
      <c r="W262" s="142"/>
      <c r="X262" s="142"/>
    </row>
    <row r="263" spans="1:31" ht="14.4" customHeight="1" x14ac:dyDescent="0.3">
      <c r="A263" s="16" t="s">
        <v>292</v>
      </c>
      <c r="B263" s="3">
        <v>46071</v>
      </c>
      <c r="C263" s="2" t="s">
        <v>35</v>
      </c>
      <c r="D263" s="2" t="s">
        <v>9</v>
      </c>
      <c r="E263" s="2" t="s">
        <v>24</v>
      </c>
      <c r="F263" s="2" t="s">
        <v>17</v>
      </c>
      <c r="G263" s="2">
        <v>64</v>
      </c>
      <c r="H263" s="4">
        <v>50</v>
      </c>
      <c r="I263" s="4">
        <v>3200</v>
      </c>
      <c r="J263" s="2">
        <v>90</v>
      </c>
      <c r="K263" s="2">
        <v>4</v>
      </c>
      <c r="L263" s="2">
        <v>12</v>
      </c>
      <c r="M263" s="17" t="s">
        <v>22</v>
      </c>
      <c r="P263" s="142"/>
      <c r="Q263" s="142"/>
      <c r="R263" s="142"/>
      <c r="S263" s="142"/>
      <c r="T263" s="142"/>
      <c r="U263" s="142"/>
      <c r="V263" s="142"/>
      <c r="W263" s="142"/>
      <c r="X263" s="142"/>
    </row>
    <row r="264" spans="1:31" x14ac:dyDescent="0.3">
      <c r="A264" s="16" t="s">
        <v>293</v>
      </c>
      <c r="B264" s="3">
        <v>46077</v>
      </c>
      <c r="C264" s="2" t="s">
        <v>30</v>
      </c>
      <c r="D264" s="2" t="s">
        <v>24</v>
      </c>
      <c r="E264" s="2" t="s">
        <v>24</v>
      </c>
      <c r="F264" s="2" t="s">
        <v>25</v>
      </c>
      <c r="G264" s="2">
        <v>57</v>
      </c>
      <c r="H264" s="4">
        <v>250</v>
      </c>
      <c r="I264" s="4">
        <v>14250</v>
      </c>
      <c r="J264" s="2">
        <v>100</v>
      </c>
      <c r="K264" s="2">
        <v>2</v>
      </c>
      <c r="L264" s="2">
        <v>19</v>
      </c>
      <c r="M264" s="17" t="s">
        <v>12</v>
      </c>
      <c r="AA264" s="65"/>
      <c r="AB264" s="65"/>
      <c r="AC264" s="65"/>
      <c r="AD264" s="65"/>
      <c r="AE264" s="65"/>
    </row>
    <row r="265" spans="1:31" x14ac:dyDescent="0.3">
      <c r="A265" s="16" t="s">
        <v>294</v>
      </c>
      <c r="B265" s="3">
        <v>46024</v>
      </c>
      <c r="C265" s="2" t="s">
        <v>40</v>
      </c>
      <c r="D265" s="2" t="s">
        <v>24</v>
      </c>
      <c r="E265" s="2" t="s">
        <v>20</v>
      </c>
      <c r="F265" s="2" t="s">
        <v>11</v>
      </c>
      <c r="G265" s="2">
        <v>35</v>
      </c>
      <c r="H265" s="4">
        <v>100</v>
      </c>
      <c r="I265" s="4">
        <v>3500</v>
      </c>
      <c r="J265" s="2">
        <v>93</v>
      </c>
      <c r="K265" s="2">
        <v>4</v>
      </c>
      <c r="L265" s="2">
        <v>20</v>
      </c>
      <c r="M265" s="17" t="s">
        <v>22</v>
      </c>
      <c r="AA265" s="65"/>
      <c r="AB265" s="65"/>
      <c r="AC265" s="65"/>
      <c r="AD265" s="65"/>
      <c r="AE265" s="65"/>
    </row>
    <row r="266" spans="1:31" ht="15.6" x14ac:dyDescent="0.3">
      <c r="A266" s="16" t="s">
        <v>295</v>
      </c>
      <c r="B266" s="3">
        <v>46189</v>
      </c>
      <c r="C266" s="2" t="s">
        <v>30</v>
      </c>
      <c r="D266" s="2" t="s">
        <v>9</v>
      </c>
      <c r="E266" s="2" t="s">
        <v>42</v>
      </c>
      <c r="F266" s="2" t="s">
        <v>31</v>
      </c>
      <c r="G266" s="2">
        <v>48</v>
      </c>
      <c r="H266" s="4">
        <v>10</v>
      </c>
      <c r="I266" s="4">
        <v>480</v>
      </c>
      <c r="J266" s="2">
        <v>93</v>
      </c>
      <c r="K266" s="2">
        <v>2</v>
      </c>
      <c r="L266" s="2">
        <v>4</v>
      </c>
      <c r="M266" s="17" t="s">
        <v>22</v>
      </c>
      <c r="P266" s="58" t="s">
        <v>747</v>
      </c>
      <c r="AA266" s="65"/>
      <c r="AB266" s="65"/>
      <c r="AC266" s="65"/>
      <c r="AD266" s="65"/>
      <c r="AE266" s="65"/>
    </row>
    <row r="267" spans="1:31" x14ac:dyDescent="0.3">
      <c r="A267" s="16" t="s">
        <v>296</v>
      </c>
      <c r="B267" s="3">
        <v>46079</v>
      </c>
      <c r="C267" s="2" t="s">
        <v>8</v>
      </c>
      <c r="D267" s="2" t="s">
        <v>19</v>
      </c>
      <c r="E267" s="2" t="s">
        <v>42</v>
      </c>
      <c r="F267" s="2" t="s">
        <v>11</v>
      </c>
      <c r="G267" s="2">
        <v>89</v>
      </c>
      <c r="H267" s="4">
        <v>100</v>
      </c>
      <c r="I267" s="4">
        <v>8900</v>
      </c>
      <c r="J267" s="2">
        <v>84</v>
      </c>
      <c r="K267" s="2">
        <v>3</v>
      </c>
      <c r="L267" s="2">
        <v>19</v>
      </c>
      <c r="M267" s="17" t="s">
        <v>22</v>
      </c>
      <c r="AA267" s="65"/>
      <c r="AB267" s="65"/>
      <c r="AC267" s="65"/>
      <c r="AD267" s="65"/>
      <c r="AE267" s="65"/>
    </row>
    <row r="268" spans="1:31" ht="14.4" customHeight="1" x14ac:dyDescent="0.3">
      <c r="A268" s="16" t="s">
        <v>297</v>
      </c>
      <c r="B268" s="3">
        <v>46160</v>
      </c>
      <c r="C268" s="2" t="s">
        <v>30</v>
      </c>
      <c r="D268" s="2" t="s">
        <v>19</v>
      </c>
      <c r="E268" s="2" t="s">
        <v>42</v>
      </c>
      <c r="F268" s="2" t="s">
        <v>11</v>
      </c>
      <c r="G268" s="2">
        <v>51</v>
      </c>
      <c r="H268" s="4">
        <v>20</v>
      </c>
      <c r="I268" s="4">
        <v>1020</v>
      </c>
      <c r="J268" s="2">
        <v>95</v>
      </c>
      <c r="K268" s="2">
        <v>5</v>
      </c>
      <c r="L268" s="2">
        <v>3</v>
      </c>
      <c r="M268" s="17" t="s">
        <v>22</v>
      </c>
      <c r="P268" s="143" t="s">
        <v>748</v>
      </c>
      <c r="Q268" s="144"/>
      <c r="R268" s="144"/>
      <c r="S268" s="144"/>
      <c r="T268" s="144"/>
      <c r="U268" s="144"/>
      <c r="V268" s="144"/>
      <c r="W268" s="144"/>
      <c r="X268" s="144"/>
      <c r="Y268" s="144"/>
      <c r="Z268" s="145"/>
      <c r="AA268" s="65"/>
      <c r="AB268" s="65"/>
      <c r="AC268" s="65"/>
      <c r="AD268" s="65"/>
      <c r="AE268" s="65"/>
    </row>
    <row r="269" spans="1:31" x14ac:dyDescent="0.3">
      <c r="A269" s="16" t="s">
        <v>298</v>
      </c>
      <c r="B269" s="3">
        <v>46182</v>
      </c>
      <c r="C269" s="2" t="s">
        <v>27</v>
      </c>
      <c r="D269" s="2" t="s">
        <v>28</v>
      </c>
      <c r="E269" s="2" t="s">
        <v>42</v>
      </c>
      <c r="F269" s="2" t="s">
        <v>31</v>
      </c>
      <c r="G269" s="2">
        <v>85</v>
      </c>
      <c r="H269" s="4">
        <v>10</v>
      </c>
      <c r="I269" s="4">
        <v>850</v>
      </c>
      <c r="J269" s="2">
        <v>97</v>
      </c>
      <c r="K269" s="2">
        <v>5</v>
      </c>
      <c r="L269" s="2">
        <v>17</v>
      </c>
      <c r="M269" s="17" t="s">
        <v>12</v>
      </c>
      <c r="P269" s="146"/>
      <c r="Q269" s="147"/>
      <c r="R269" s="147"/>
      <c r="S269" s="147"/>
      <c r="T269" s="147"/>
      <c r="U269" s="147"/>
      <c r="V269" s="147"/>
      <c r="W269" s="147"/>
      <c r="X269" s="147"/>
      <c r="Y269" s="147"/>
      <c r="Z269" s="148"/>
    </row>
    <row r="270" spans="1:31" x14ac:dyDescent="0.3">
      <c r="A270" s="16" t="s">
        <v>299</v>
      </c>
      <c r="B270" s="3">
        <v>46036</v>
      </c>
      <c r="C270" s="2" t="s">
        <v>35</v>
      </c>
      <c r="D270" s="2" t="s">
        <v>24</v>
      </c>
      <c r="E270" s="2" t="s">
        <v>16</v>
      </c>
      <c r="F270" s="2" t="s">
        <v>25</v>
      </c>
      <c r="G270" s="2">
        <v>45</v>
      </c>
      <c r="H270" s="4">
        <v>50</v>
      </c>
      <c r="I270" s="4">
        <v>2250</v>
      </c>
      <c r="J270" s="2">
        <v>91</v>
      </c>
      <c r="K270" s="2">
        <v>4</v>
      </c>
      <c r="L270" s="2">
        <v>6</v>
      </c>
      <c r="M270" s="17" t="s">
        <v>22</v>
      </c>
      <c r="P270" s="146"/>
      <c r="Q270" s="147"/>
      <c r="R270" s="147"/>
      <c r="S270" s="147"/>
      <c r="T270" s="147"/>
      <c r="U270" s="147"/>
      <c r="V270" s="147"/>
      <c r="W270" s="147"/>
      <c r="X270" s="147"/>
      <c r="Y270" s="147"/>
      <c r="Z270" s="148"/>
    </row>
    <row r="271" spans="1:31" ht="15.6" customHeight="1" x14ac:dyDescent="0.3">
      <c r="A271" s="16" t="s">
        <v>300</v>
      </c>
      <c r="B271" s="3">
        <v>46123</v>
      </c>
      <c r="C271" s="2" t="s">
        <v>14</v>
      </c>
      <c r="D271" s="2" t="s">
        <v>19</v>
      </c>
      <c r="E271" s="2" t="s">
        <v>16</v>
      </c>
      <c r="F271" s="2" t="s">
        <v>11</v>
      </c>
      <c r="G271" s="2">
        <v>58</v>
      </c>
      <c r="H271" s="4">
        <v>5</v>
      </c>
      <c r="I271" s="4">
        <v>290</v>
      </c>
      <c r="J271" s="2">
        <v>83</v>
      </c>
      <c r="K271" s="2">
        <v>3</v>
      </c>
      <c r="L271" s="2">
        <v>13</v>
      </c>
      <c r="M271" s="17" t="s">
        <v>22</v>
      </c>
      <c r="P271" s="146"/>
      <c r="Q271" s="147"/>
      <c r="R271" s="147"/>
      <c r="S271" s="147"/>
      <c r="T271" s="147"/>
      <c r="U271" s="147"/>
      <c r="V271" s="147"/>
      <c r="W271" s="147"/>
      <c r="X271" s="147"/>
      <c r="Y271" s="147"/>
      <c r="Z271" s="148"/>
    </row>
    <row r="272" spans="1:31" ht="15.6" customHeight="1" x14ac:dyDescent="0.3">
      <c r="A272" s="16" t="s">
        <v>301</v>
      </c>
      <c r="B272" s="3">
        <v>46087</v>
      </c>
      <c r="C272" s="2" t="s">
        <v>40</v>
      </c>
      <c r="D272" s="2" t="s">
        <v>19</v>
      </c>
      <c r="E272" s="2" t="s">
        <v>24</v>
      </c>
      <c r="F272" s="2" t="s">
        <v>21</v>
      </c>
      <c r="G272" s="2">
        <v>94</v>
      </c>
      <c r="H272" s="4">
        <v>50</v>
      </c>
      <c r="I272" s="4">
        <v>4700</v>
      </c>
      <c r="J272" s="2">
        <v>94</v>
      </c>
      <c r="K272" s="2">
        <v>5</v>
      </c>
      <c r="L272" s="2">
        <v>11</v>
      </c>
      <c r="M272" s="17" t="s">
        <v>32</v>
      </c>
      <c r="P272" s="146"/>
      <c r="Q272" s="147"/>
      <c r="R272" s="147"/>
      <c r="S272" s="147"/>
      <c r="T272" s="147"/>
      <c r="U272" s="147"/>
      <c r="V272" s="147"/>
      <c r="W272" s="147"/>
      <c r="X272" s="147"/>
      <c r="Y272" s="147"/>
      <c r="Z272" s="148"/>
    </row>
    <row r="273" spans="1:26" ht="15.6" customHeight="1" x14ac:dyDescent="0.3">
      <c r="A273" s="16" t="s">
        <v>302</v>
      </c>
      <c r="B273" s="3">
        <v>46079</v>
      </c>
      <c r="C273" s="2" t="s">
        <v>40</v>
      </c>
      <c r="D273" s="2" t="s">
        <v>15</v>
      </c>
      <c r="E273" s="2" t="s">
        <v>16</v>
      </c>
      <c r="F273" s="2" t="s">
        <v>17</v>
      </c>
      <c r="G273" s="2">
        <v>40</v>
      </c>
      <c r="H273" s="4">
        <v>20</v>
      </c>
      <c r="I273" s="4">
        <v>800</v>
      </c>
      <c r="J273" s="2">
        <v>94</v>
      </c>
      <c r="K273" s="2">
        <v>5</v>
      </c>
      <c r="L273" s="2">
        <v>19</v>
      </c>
      <c r="M273" s="17" t="s">
        <v>22</v>
      </c>
      <c r="P273" s="146"/>
      <c r="Q273" s="147"/>
      <c r="R273" s="147"/>
      <c r="S273" s="147"/>
      <c r="T273" s="147"/>
      <c r="U273" s="147"/>
      <c r="V273" s="147"/>
      <c r="W273" s="147"/>
      <c r="X273" s="147"/>
      <c r="Y273" s="147"/>
      <c r="Z273" s="148"/>
    </row>
    <row r="274" spans="1:26" ht="15.6" customHeight="1" x14ac:dyDescent="0.3">
      <c r="A274" s="16" t="s">
        <v>303</v>
      </c>
      <c r="B274" s="3">
        <v>46131</v>
      </c>
      <c r="C274" s="2" t="s">
        <v>14</v>
      </c>
      <c r="D274" s="2" t="s">
        <v>24</v>
      </c>
      <c r="E274" s="2" t="s">
        <v>24</v>
      </c>
      <c r="F274" s="2" t="s">
        <v>11</v>
      </c>
      <c r="G274" s="2">
        <v>85</v>
      </c>
      <c r="H274" s="4">
        <v>20</v>
      </c>
      <c r="I274" s="4">
        <v>1700</v>
      </c>
      <c r="J274" s="2">
        <v>100</v>
      </c>
      <c r="K274" s="2">
        <v>5</v>
      </c>
      <c r="L274" s="2">
        <v>19</v>
      </c>
      <c r="M274" s="17" t="s">
        <v>22</v>
      </c>
      <c r="P274" s="146"/>
      <c r="Q274" s="147"/>
      <c r="R274" s="147"/>
      <c r="S274" s="147"/>
      <c r="T274" s="147"/>
      <c r="U274" s="147"/>
      <c r="V274" s="147"/>
      <c r="W274" s="147"/>
      <c r="X274" s="147"/>
      <c r="Y274" s="147"/>
      <c r="Z274" s="148"/>
    </row>
    <row r="275" spans="1:26" x14ac:dyDescent="0.3">
      <c r="A275" s="16" t="s">
        <v>304</v>
      </c>
      <c r="B275" s="3">
        <v>46166</v>
      </c>
      <c r="C275" s="2" t="s">
        <v>30</v>
      </c>
      <c r="D275" s="2" t="s">
        <v>28</v>
      </c>
      <c r="E275" s="2" t="s">
        <v>42</v>
      </c>
      <c r="F275" s="2" t="s">
        <v>11</v>
      </c>
      <c r="G275" s="2">
        <v>69</v>
      </c>
      <c r="H275" s="4">
        <v>20</v>
      </c>
      <c r="I275" s="4">
        <v>1380</v>
      </c>
      <c r="J275" s="2">
        <v>78</v>
      </c>
      <c r="K275" s="2">
        <v>2</v>
      </c>
      <c r="L275" s="2">
        <v>11</v>
      </c>
      <c r="M275" s="17" t="s">
        <v>22</v>
      </c>
      <c r="P275" s="146"/>
      <c r="Q275" s="147"/>
      <c r="R275" s="147"/>
      <c r="S275" s="147"/>
      <c r="T275" s="147"/>
      <c r="U275" s="147"/>
      <c r="V275" s="147"/>
      <c r="W275" s="147"/>
      <c r="X275" s="147"/>
      <c r="Y275" s="147"/>
      <c r="Z275" s="148"/>
    </row>
    <row r="276" spans="1:26" ht="15.6" customHeight="1" x14ac:dyDescent="0.3">
      <c r="A276" s="16" t="s">
        <v>305</v>
      </c>
      <c r="B276" s="3">
        <v>46128</v>
      </c>
      <c r="C276" s="2" t="s">
        <v>35</v>
      </c>
      <c r="D276" s="2" t="s">
        <v>19</v>
      </c>
      <c r="E276" s="2" t="s">
        <v>42</v>
      </c>
      <c r="F276" s="2" t="s">
        <v>21</v>
      </c>
      <c r="G276" s="2">
        <v>39</v>
      </c>
      <c r="H276" s="4">
        <v>20</v>
      </c>
      <c r="I276" s="4">
        <v>780</v>
      </c>
      <c r="J276" s="2">
        <v>79</v>
      </c>
      <c r="K276" s="2">
        <v>4</v>
      </c>
      <c r="L276" s="2">
        <v>20</v>
      </c>
      <c r="M276" s="17" t="s">
        <v>22</v>
      </c>
      <c r="P276" s="146"/>
      <c r="Q276" s="147"/>
      <c r="R276" s="147"/>
      <c r="S276" s="147"/>
      <c r="T276" s="147"/>
      <c r="U276" s="147"/>
      <c r="V276" s="147"/>
      <c r="W276" s="147"/>
      <c r="X276" s="147"/>
      <c r="Y276" s="147"/>
      <c r="Z276" s="148"/>
    </row>
    <row r="277" spans="1:26" ht="15.6" customHeight="1" x14ac:dyDescent="0.3">
      <c r="A277" s="16" t="s">
        <v>306</v>
      </c>
      <c r="B277" s="3">
        <v>46170</v>
      </c>
      <c r="C277" s="2" t="s">
        <v>40</v>
      </c>
      <c r="D277" s="2" t="s">
        <v>9</v>
      </c>
      <c r="E277" s="2" t="s">
        <v>10</v>
      </c>
      <c r="F277" s="2" t="s">
        <v>11</v>
      </c>
      <c r="G277" s="2">
        <v>67</v>
      </c>
      <c r="H277" s="4">
        <v>5</v>
      </c>
      <c r="I277" s="4">
        <v>335</v>
      </c>
      <c r="J277" s="2">
        <v>89</v>
      </c>
      <c r="K277" s="2">
        <v>5</v>
      </c>
      <c r="L277" s="2">
        <v>16</v>
      </c>
      <c r="M277" s="17" t="s">
        <v>22</v>
      </c>
      <c r="P277" s="146"/>
      <c r="Q277" s="147"/>
      <c r="R277" s="147"/>
      <c r="S277" s="147"/>
      <c r="T277" s="147"/>
      <c r="U277" s="147"/>
      <c r="V277" s="147"/>
      <c r="W277" s="147"/>
      <c r="X277" s="147"/>
      <c r="Y277" s="147"/>
      <c r="Z277" s="148"/>
    </row>
    <row r="278" spans="1:26" x14ac:dyDescent="0.3">
      <c r="A278" s="16" t="s">
        <v>307</v>
      </c>
      <c r="B278" s="3">
        <v>46166</v>
      </c>
      <c r="C278" s="2" t="s">
        <v>8</v>
      </c>
      <c r="D278" s="2" t="s">
        <v>28</v>
      </c>
      <c r="E278" s="2" t="s">
        <v>42</v>
      </c>
      <c r="F278" s="2" t="s">
        <v>31</v>
      </c>
      <c r="G278" s="2">
        <v>75</v>
      </c>
      <c r="H278" s="4">
        <v>20</v>
      </c>
      <c r="I278" s="4">
        <v>1500</v>
      </c>
      <c r="J278" s="2">
        <v>98</v>
      </c>
      <c r="K278" s="2">
        <v>4</v>
      </c>
      <c r="L278" s="2">
        <v>15</v>
      </c>
      <c r="M278" s="17" t="s">
        <v>22</v>
      </c>
      <c r="P278" s="146"/>
      <c r="Q278" s="147"/>
      <c r="R278" s="147"/>
      <c r="S278" s="147"/>
      <c r="T278" s="147"/>
      <c r="U278" s="147"/>
      <c r="V278" s="147"/>
      <c r="W278" s="147"/>
      <c r="X278" s="147"/>
      <c r="Y278" s="147"/>
      <c r="Z278" s="148"/>
    </row>
    <row r="279" spans="1:26" x14ac:dyDescent="0.3">
      <c r="A279" s="16" t="s">
        <v>308</v>
      </c>
      <c r="B279" s="3">
        <v>46160</v>
      </c>
      <c r="C279" s="2" t="s">
        <v>8</v>
      </c>
      <c r="D279" s="2" t="s">
        <v>19</v>
      </c>
      <c r="E279" s="2" t="s">
        <v>16</v>
      </c>
      <c r="F279" s="2" t="s">
        <v>25</v>
      </c>
      <c r="G279" s="2">
        <v>91</v>
      </c>
      <c r="H279" s="4">
        <v>10</v>
      </c>
      <c r="I279" s="4">
        <v>910</v>
      </c>
      <c r="J279" s="2">
        <v>90</v>
      </c>
      <c r="K279" s="2">
        <v>5</v>
      </c>
      <c r="L279" s="2">
        <v>19</v>
      </c>
      <c r="M279" s="17" t="s">
        <v>12</v>
      </c>
      <c r="P279" s="146"/>
      <c r="Q279" s="147"/>
      <c r="R279" s="147"/>
      <c r="S279" s="147"/>
      <c r="T279" s="147"/>
      <c r="U279" s="147"/>
      <c r="V279" s="147"/>
      <c r="W279" s="147"/>
      <c r="X279" s="147"/>
      <c r="Y279" s="147"/>
      <c r="Z279" s="148"/>
    </row>
    <row r="280" spans="1:26" x14ac:dyDescent="0.3">
      <c r="A280" s="16" t="s">
        <v>309</v>
      </c>
      <c r="B280" s="3">
        <v>46194</v>
      </c>
      <c r="C280" s="2" t="s">
        <v>8</v>
      </c>
      <c r="D280" s="2" t="s">
        <v>15</v>
      </c>
      <c r="E280" s="2" t="s">
        <v>24</v>
      </c>
      <c r="F280" s="2" t="s">
        <v>17</v>
      </c>
      <c r="G280" s="2">
        <v>65</v>
      </c>
      <c r="H280" s="4">
        <v>10</v>
      </c>
      <c r="I280" s="4">
        <v>650</v>
      </c>
      <c r="J280" s="2">
        <v>79</v>
      </c>
      <c r="K280" s="2">
        <v>2</v>
      </c>
      <c r="L280" s="2">
        <v>3</v>
      </c>
      <c r="M280" s="17" t="s">
        <v>22</v>
      </c>
      <c r="P280" s="146"/>
      <c r="Q280" s="147"/>
      <c r="R280" s="147"/>
      <c r="S280" s="147"/>
      <c r="T280" s="147"/>
      <c r="U280" s="147"/>
      <c r="V280" s="147"/>
      <c r="W280" s="147"/>
      <c r="X280" s="147"/>
      <c r="Y280" s="147"/>
      <c r="Z280" s="148"/>
    </row>
    <row r="281" spans="1:26" x14ac:dyDescent="0.3">
      <c r="A281" s="16" t="s">
        <v>310</v>
      </c>
      <c r="B281" s="3">
        <v>46077</v>
      </c>
      <c r="C281" s="2" t="s">
        <v>8</v>
      </c>
      <c r="D281" s="2" t="s">
        <v>9</v>
      </c>
      <c r="E281" s="2" t="s">
        <v>20</v>
      </c>
      <c r="F281" s="2" t="s">
        <v>31</v>
      </c>
      <c r="G281" s="2">
        <v>99</v>
      </c>
      <c r="H281" s="4">
        <v>100</v>
      </c>
      <c r="I281" s="4">
        <v>9900</v>
      </c>
      <c r="J281" s="2">
        <v>83</v>
      </c>
      <c r="K281" s="2">
        <v>4</v>
      </c>
      <c r="L281" s="2">
        <v>15</v>
      </c>
      <c r="M281" s="17" t="s">
        <v>12</v>
      </c>
      <c r="P281" s="146"/>
      <c r="Q281" s="147"/>
      <c r="R281" s="147"/>
      <c r="S281" s="147"/>
      <c r="T281" s="147"/>
      <c r="U281" s="147"/>
      <c r="V281" s="147"/>
      <c r="W281" s="147"/>
      <c r="X281" s="147"/>
      <c r="Y281" s="147"/>
      <c r="Z281" s="148"/>
    </row>
    <row r="282" spans="1:26" x14ac:dyDescent="0.3">
      <c r="A282" s="16" t="s">
        <v>311</v>
      </c>
      <c r="B282" s="3">
        <v>46174</v>
      </c>
      <c r="C282" s="2" t="s">
        <v>14</v>
      </c>
      <c r="D282" s="2" t="s">
        <v>15</v>
      </c>
      <c r="E282" s="2" t="s">
        <v>42</v>
      </c>
      <c r="F282" s="2" t="s">
        <v>11</v>
      </c>
      <c r="G282" s="2">
        <v>18</v>
      </c>
      <c r="H282" s="4">
        <v>10</v>
      </c>
      <c r="I282" s="4">
        <v>180</v>
      </c>
      <c r="J282" s="2">
        <v>87</v>
      </c>
      <c r="K282" s="2">
        <v>4</v>
      </c>
      <c r="L282" s="2">
        <v>5</v>
      </c>
      <c r="M282" s="17" t="s">
        <v>32</v>
      </c>
      <c r="P282" s="146"/>
      <c r="Q282" s="147"/>
      <c r="R282" s="147"/>
      <c r="S282" s="147"/>
      <c r="T282" s="147"/>
      <c r="U282" s="147"/>
      <c r="V282" s="147"/>
      <c r="W282" s="147"/>
      <c r="X282" s="147"/>
      <c r="Y282" s="147"/>
      <c r="Z282" s="148"/>
    </row>
    <row r="283" spans="1:26" x14ac:dyDescent="0.3">
      <c r="A283" s="16" t="s">
        <v>312</v>
      </c>
      <c r="B283" s="3">
        <v>46096</v>
      </c>
      <c r="C283" s="2" t="s">
        <v>30</v>
      </c>
      <c r="D283" s="2" t="s">
        <v>15</v>
      </c>
      <c r="E283" s="2" t="s">
        <v>20</v>
      </c>
      <c r="F283" s="2" t="s">
        <v>25</v>
      </c>
      <c r="G283" s="2">
        <v>98</v>
      </c>
      <c r="H283" s="4">
        <v>50</v>
      </c>
      <c r="I283" s="4">
        <v>4900</v>
      </c>
      <c r="J283" s="2">
        <v>82</v>
      </c>
      <c r="K283" s="2">
        <v>3</v>
      </c>
      <c r="L283" s="2">
        <v>10</v>
      </c>
      <c r="M283" s="17" t="s">
        <v>22</v>
      </c>
      <c r="P283" s="146"/>
      <c r="Q283" s="147"/>
      <c r="R283" s="147"/>
      <c r="S283" s="147"/>
      <c r="T283" s="147"/>
      <c r="U283" s="147"/>
      <c r="V283" s="147"/>
      <c r="W283" s="147"/>
      <c r="X283" s="147"/>
      <c r="Y283" s="147"/>
      <c r="Z283" s="148"/>
    </row>
    <row r="284" spans="1:26" x14ac:dyDescent="0.3">
      <c r="A284" s="16" t="s">
        <v>313</v>
      </c>
      <c r="B284" s="3">
        <v>46179</v>
      </c>
      <c r="C284" s="2" t="s">
        <v>35</v>
      </c>
      <c r="D284" s="2" t="s">
        <v>19</v>
      </c>
      <c r="E284" s="2" t="s">
        <v>20</v>
      </c>
      <c r="F284" s="2" t="s">
        <v>21</v>
      </c>
      <c r="G284" s="2">
        <v>17</v>
      </c>
      <c r="H284" s="4">
        <v>20</v>
      </c>
      <c r="I284" s="4">
        <v>340</v>
      </c>
      <c r="J284" s="2">
        <v>81</v>
      </c>
      <c r="K284" s="2">
        <v>4</v>
      </c>
      <c r="L284" s="2">
        <v>6</v>
      </c>
      <c r="M284" s="17" t="s">
        <v>22</v>
      </c>
      <c r="P284" s="146"/>
      <c r="Q284" s="147"/>
      <c r="R284" s="147"/>
      <c r="S284" s="147"/>
      <c r="T284" s="147"/>
      <c r="U284" s="147"/>
      <c r="V284" s="147"/>
      <c r="W284" s="147"/>
      <c r="X284" s="147"/>
      <c r="Y284" s="147"/>
      <c r="Z284" s="148"/>
    </row>
    <row r="285" spans="1:26" x14ac:dyDescent="0.3">
      <c r="A285" s="16" t="s">
        <v>314</v>
      </c>
      <c r="B285" s="3">
        <v>46080</v>
      </c>
      <c r="C285" s="2" t="s">
        <v>40</v>
      </c>
      <c r="D285" s="2" t="s">
        <v>19</v>
      </c>
      <c r="E285" s="2" t="s">
        <v>20</v>
      </c>
      <c r="F285" s="2" t="s">
        <v>25</v>
      </c>
      <c r="G285" s="2">
        <v>91</v>
      </c>
      <c r="H285" s="4">
        <v>100</v>
      </c>
      <c r="I285" s="4">
        <v>9100</v>
      </c>
      <c r="J285" s="2">
        <v>82</v>
      </c>
      <c r="K285" s="2">
        <v>4</v>
      </c>
      <c r="L285" s="2">
        <v>3</v>
      </c>
      <c r="M285" s="17" t="s">
        <v>32</v>
      </c>
      <c r="P285" s="146"/>
      <c r="Q285" s="147"/>
      <c r="R285" s="147"/>
      <c r="S285" s="147"/>
      <c r="T285" s="147"/>
      <c r="U285" s="147"/>
      <c r="V285" s="147"/>
      <c r="W285" s="147"/>
      <c r="X285" s="147"/>
      <c r="Y285" s="147"/>
      <c r="Z285" s="148"/>
    </row>
    <row r="286" spans="1:26" x14ac:dyDescent="0.3">
      <c r="A286" s="16" t="s">
        <v>315</v>
      </c>
      <c r="B286" s="3">
        <v>46097</v>
      </c>
      <c r="C286" s="2" t="s">
        <v>14</v>
      </c>
      <c r="D286" s="2" t="s">
        <v>24</v>
      </c>
      <c r="E286" s="2" t="s">
        <v>10</v>
      </c>
      <c r="F286" s="2" t="s">
        <v>25</v>
      </c>
      <c r="G286" s="2">
        <v>40</v>
      </c>
      <c r="H286" s="4">
        <v>5</v>
      </c>
      <c r="I286" s="4">
        <v>200</v>
      </c>
      <c r="J286" s="2">
        <v>78</v>
      </c>
      <c r="K286" s="2">
        <v>4</v>
      </c>
      <c r="L286" s="2">
        <v>16</v>
      </c>
      <c r="M286" s="17" t="s">
        <v>22</v>
      </c>
      <c r="P286" s="146"/>
      <c r="Q286" s="147"/>
      <c r="R286" s="147"/>
      <c r="S286" s="147"/>
      <c r="T286" s="147"/>
      <c r="U286" s="147"/>
      <c r="V286" s="147"/>
      <c r="W286" s="147"/>
      <c r="X286" s="147"/>
      <c r="Y286" s="147"/>
      <c r="Z286" s="148"/>
    </row>
    <row r="287" spans="1:26" x14ac:dyDescent="0.3">
      <c r="A287" s="16" t="s">
        <v>316</v>
      </c>
      <c r="B287" s="3">
        <v>46197</v>
      </c>
      <c r="C287" s="2" t="s">
        <v>27</v>
      </c>
      <c r="D287" s="2" t="s">
        <v>15</v>
      </c>
      <c r="E287" s="2" t="s">
        <v>24</v>
      </c>
      <c r="F287" s="2" t="s">
        <v>25</v>
      </c>
      <c r="G287" s="2">
        <v>7</v>
      </c>
      <c r="H287" s="4">
        <v>50</v>
      </c>
      <c r="I287" s="4">
        <v>350</v>
      </c>
      <c r="J287" s="2">
        <v>86</v>
      </c>
      <c r="K287" s="2">
        <v>4</v>
      </c>
      <c r="L287" s="2">
        <v>7</v>
      </c>
      <c r="M287" s="17" t="s">
        <v>12</v>
      </c>
      <c r="P287" s="146"/>
      <c r="Q287" s="147"/>
      <c r="R287" s="147"/>
      <c r="S287" s="147"/>
      <c r="T287" s="147"/>
      <c r="U287" s="147"/>
      <c r="V287" s="147"/>
      <c r="W287" s="147"/>
      <c r="X287" s="147"/>
      <c r="Y287" s="147"/>
      <c r="Z287" s="148"/>
    </row>
    <row r="288" spans="1:26" x14ac:dyDescent="0.3">
      <c r="A288" s="16" t="s">
        <v>317</v>
      </c>
      <c r="B288" s="3">
        <v>46106</v>
      </c>
      <c r="C288" s="2" t="s">
        <v>27</v>
      </c>
      <c r="D288" s="2" t="s">
        <v>24</v>
      </c>
      <c r="E288" s="2" t="s">
        <v>20</v>
      </c>
      <c r="F288" s="2" t="s">
        <v>31</v>
      </c>
      <c r="G288" s="2">
        <v>9</v>
      </c>
      <c r="H288" s="4">
        <v>20</v>
      </c>
      <c r="I288" s="4">
        <v>180</v>
      </c>
      <c r="J288" s="2">
        <v>100</v>
      </c>
      <c r="K288" s="2">
        <v>5</v>
      </c>
      <c r="L288" s="2">
        <v>17</v>
      </c>
      <c r="M288" s="17" t="s">
        <v>22</v>
      </c>
      <c r="P288" s="146"/>
      <c r="Q288" s="147"/>
      <c r="R288" s="147"/>
      <c r="S288" s="147"/>
      <c r="T288" s="147"/>
      <c r="U288" s="147"/>
      <c r="V288" s="147"/>
      <c r="W288" s="147"/>
      <c r="X288" s="147"/>
      <c r="Y288" s="147"/>
      <c r="Z288" s="148"/>
    </row>
    <row r="289" spans="1:26" x14ac:dyDescent="0.3">
      <c r="A289" s="16" t="s">
        <v>318</v>
      </c>
      <c r="B289" s="3">
        <v>46067</v>
      </c>
      <c r="C289" s="2" t="s">
        <v>8</v>
      </c>
      <c r="D289" s="2" t="s">
        <v>15</v>
      </c>
      <c r="E289" s="2" t="s">
        <v>20</v>
      </c>
      <c r="F289" s="2" t="s">
        <v>17</v>
      </c>
      <c r="G289" s="2">
        <v>39</v>
      </c>
      <c r="H289" s="4">
        <v>20</v>
      </c>
      <c r="I289" s="4">
        <v>780</v>
      </c>
      <c r="J289" s="2">
        <v>91</v>
      </c>
      <c r="K289" s="2">
        <v>2</v>
      </c>
      <c r="L289" s="2">
        <v>3</v>
      </c>
      <c r="M289" s="17" t="s">
        <v>22</v>
      </c>
      <c r="P289" s="146"/>
      <c r="Q289" s="147"/>
      <c r="R289" s="147"/>
      <c r="S289" s="147"/>
      <c r="T289" s="147"/>
      <c r="U289" s="147"/>
      <c r="V289" s="147"/>
      <c r="W289" s="147"/>
      <c r="X289" s="147"/>
      <c r="Y289" s="147"/>
      <c r="Z289" s="148"/>
    </row>
    <row r="290" spans="1:26" x14ac:dyDescent="0.3">
      <c r="A290" s="16" t="s">
        <v>319</v>
      </c>
      <c r="B290" s="3">
        <v>46072</v>
      </c>
      <c r="C290" s="2" t="s">
        <v>35</v>
      </c>
      <c r="D290" s="2" t="s">
        <v>24</v>
      </c>
      <c r="E290" s="2" t="s">
        <v>10</v>
      </c>
      <c r="F290" s="2" t="s">
        <v>31</v>
      </c>
      <c r="G290" s="2">
        <v>34</v>
      </c>
      <c r="H290" s="4">
        <v>100</v>
      </c>
      <c r="I290" s="4">
        <v>3400</v>
      </c>
      <c r="J290" s="2">
        <v>80</v>
      </c>
      <c r="K290" s="2">
        <v>3</v>
      </c>
      <c r="L290" s="2">
        <v>18</v>
      </c>
      <c r="M290" s="17" t="s">
        <v>22</v>
      </c>
      <c r="P290" s="146"/>
      <c r="Q290" s="147"/>
      <c r="R290" s="147"/>
      <c r="S290" s="147"/>
      <c r="T290" s="147"/>
      <c r="U290" s="147"/>
      <c r="V290" s="147"/>
      <c r="W290" s="147"/>
      <c r="X290" s="147"/>
      <c r="Y290" s="147"/>
      <c r="Z290" s="148"/>
    </row>
    <row r="291" spans="1:26" x14ac:dyDescent="0.3">
      <c r="A291" s="16" t="s">
        <v>320</v>
      </c>
      <c r="B291" s="3">
        <v>46180</v>
      </c>
      <c r="C291" s="2" t="s">
        <v>40</v>
      </c>
      <c r="D291" s="2" t="s">
        <v>15</v>
      </c>
      <c r="E291" s="2" t="s">
        <v>24</v>
      </c>
      <c r="F291" s="2" t="s">
        <v>25</v>
      </c>
      <c r="G291" s="2">
        <v>42</v>
      </c>
      <c r="H291" s="4">
        <v>10</v>
      </c>
      <c r="I291" s="4">
        <v>420</v>
      </c>
      <c r="J291" s="2">
        <v>75</v>
      </c>
      <c r="K291" s="2">
        <v>3</v>
      </c>
      <c r="L291" s="2">
        <v>13</v>
      </c>
      <c r="M291" s="17" t="s">
        <v>22</v>
      </c>
      <c r="P291" s="146"/>
      <c r="Q291" s="147"/>
      <c r="R291" s="147"/>
      <c r="S291" s="147"/>
      <c r="T291" s="147"/>
      <c r="U291" s="147"/>
      <c r="V291" s="147"/>
      <c r="W291" s="147"/>
      <c r="X291" s="147"/>
      <c r="Y291" s="147"/>
      <c r="Z291" s="148"/>
    </row>
    <row r="292" spans="1:26" x14ac:dyDescent="0.3">
      <c r="A292" s="16" t="s">
        <v>321</v>
      </c>
      <c r="B292" s="3">
        <v>46054</v>
      </c>
      <c r="C292" s="2" t="s">
        <v>30</v>
      </c>
      <c r="D292" s="2" t="s">
        <v>28</v>
      </c>
      <c r="E292" s="2" t="s">
        <v>10</v>
      </c>
      <c r="F292" s="2" t="s">
        <v>21</v>
      </c>
      <c r="G292" s="2">
        <v>89</v>
      </c>
      <c r="H292" s="4">
        <v>250</v>
      </c>
      <c r="I292" s="4">
        <v>22250</v>
      </c>
      <c r="J292" s="2">
        <v>97</v>
      </c>
      <c r="K292" s="2">
        <v>5</v>
      </c>
      <c r="L292" s="2">
        <v>7</v>
      </c>
      <c r="M292" s="17" t="s">
        <v>22</v>
      </c>
      <c r="P292" s="149"/>
      <c r="Q292" s="150"/>
      <c r="R292" s="150"/>
      <c r="S292" s="150"/>
      <c r="T292" s="150"/>
      <c r="U292" s="150"/>
      <c r="V292" s="150"/>
      <c r="W292" s="150"/>
      <c r="X292" s="150"/>
      <c r="Y292" s="150"/>
      <c r="Z292" s="151"/>
    </row>
    <row r="293" spans="1:26" x14ac:dyDescent="0.3">
      <c r="A293" s="16" t="s">
        <v>322</v>
      </c>
      <c r="B293" s="3">
        <v>46089</v>
      </c>
      <c r="C293" s="2" t="s">
        <v>14</v>
      </c>
      <c r="D293" s="2" t="s">
        <v>19</v>
      </c>
      <c r="E293" s="2" t="s">
        <v>20</v>
      </c>
      <c r="F293" s="2" t="s">
        <v>21</v>
      </c>
      <c r="G293" s="2">
        <v>80</v>
      </c>
      <c r="H293" s="4">
        <v>100</v>
      </c>
      <c r="I293" s="4">
        <v>8000</v>
      </c>
      <c r="J293" s="2">
        <v>72</v>
      </c>
      <c r="K293" s="2">
        <v>3</v>
      </c>
      <c r="L293" s="2">
        <v>17</v>
      </c>
      <c r="M293" s="17" t="s">
        <v>22</v>
      </c>
    </row>
    <row r="294" spans="1:26" x14ac:dyDescent="0.3">
      <c r="A294" s="16" t="s">
        <v>323</v>
      </c>
      <c r="B294" s="3">
        <v>46070</v>
      </c>
      <c r="C294" s="2" t="s">
        <v>8</v>
      </c>
      <c r="D294" s="2" t="s">
        <v>15</v>
      </c>
      <c r="E294" s="2" t="s">
        <v>24</v>
      </c>
      <c r="F294" s="2" t="s">
        <v>25</v>
      </c>
      <c r="G294" s="2">
        <v>26</v>
      </c>
      <c r="H294" s="4">
        <v>100</v>
      </c>
      <c r="I294" s="4">
        <v>2600</v>
      </c>
      <c r="J294" s="2">
        <v>73</v>
      </c>
      <c r="K294" s="2">
        <v>5</v>
      </c>
      <c r="L294" s="2">
        <v>3</v>
      </c>
      <c r="M294" s="17" t="s">
        <v>22</v>
      </c>
    </row>
    <row r="295" spans="1:26" x14ac:dyDescent="0.3">
      <c r="A295" s="16" t="s">
        <v>324</v>
      </c>
      <c r="B295" s="3">
        <v>46047</v>
      </c>
      <c r="C295" s="2" t="s">
        <v>35</v>
      </c>
      <c r="D295" s="2" t="s">
        <v>9</v>
      </c>
      <c r="E295" s="2" t="s">
        <v>42</v>
      </c>
      <c r="F295" s="2" t="s">
        <v>21</v>
      </c>
      <c r="G295" s="2">
        <v>32</v>
      </c>
      <c r="H295" s="4">
        <v>10</v>
      </c>
      <c r="I295" s="4">
        <v>320</v>
      </c>
      <c r="J295" s="2">
        <v>86</v>
      </c>
      <c r="K295" s="2">
        <v>4</v>
      </c>
      <c r="L295" s="2">
        <v>2</v>
      </c>
      <c r="M295" s="17" t="s">
        <v>22</v>
      </c>
    </row>
    <row r="296" spans="1:26" x14ac:dyDescent="0.3">
      <c r="A296" s="16" t="s">
        <v>325</v>
      </c>
      <c r="B296" s="3">
        <v>46156</v>
      </c>
      <c r="C296" s="2" t="s">
        <v>27</v>
      </c>
      <c r="D296" s="2" t="s">
        <v>24</v>
      </c>
      <c r="E296" s="2" t="s">
        <v>24</v>
      </c>
      <c r="F296" s="2" t="s">
        <v>31</v>
      </c>
      <c r="G296" s="2">
        <v>58</v>
      </c>
      <c r="H296" s="4">
        <v>20</v>
      </c>
      <c r="I296" s="4">
        <v>1160</v>
      </c>
      <c r="J296" s="2">
        <v>93</v>
      </c>
      <c r="K296" s="2">
        <v>2</v>
      </c>
      <c r="L296" s="2">
        <v>3</v>
      </c>
      <c r="M296" s="17" t="s">
        <v>22</v>
      </c>
    </row>
    <row r="297" spans="1:26" x14ac:dyDescent="0.3">
      <c r="A297" s="16" t="s">
        <v>326</v>
      </c>
      <c r="B297" s="3">
        <v>46032</v>
      </c>
      <c r="C297" s="2" t="s">
        <v>14</v>
      </c>
      <c r="D297" s="2" t="s">
        <v>9</v>
      </c>
      <c r="E297" s="2" t="s">
        <v>16</v>
      </c>
      <c r="F297" s="2" t="s">
        <v>25</v>
      </c>
      <c r="G297" s="2">
        <v>47</v>
      </c>
      <c r="H297" s="4">
        <v>20</v>
      </c>
      <c r="I297" s="4">
        <v>940</v>
      </c>
      <c r="J297" s="2">
        <v>76</v>
      </c>
      <c r="K297" s="2">
        <v>5</v>
      </c>
      <c r="L297" s="2">
        <v>18</v>
      </c>
      <c r="M297" s="17" t="s">
        <v>22</v>
      </c>
    </row>
    <row r="298" spans="1:26" x14ac:dyDescent="0.3">
      <c r="A298" s="16" t="s">
        <v>327</v>
      </c>
      <c r="B298" s="3">
        <v>46042</v>
      </c>
      <c r="C298" s="2" t="s">
        <v>40</v>
      </c>
      <c r="D298" s="2" t="s">
        <v>24</v>
      </c>
      <c r="E298" s="2" t="s">
        <v>24</v>
      </c>
      <c r="F298" s="2" t="s">
        <v>17</v>
      </c>
      <c r="G298" s="2">
        <v>36</v>
      </c>
      <c r="H298" s="4">
        <v>50</v>
      </c>
      <c r="I298" s="4">
        <v>1800</v>
      </c>
      <c r="J298" s="2">
        <v>91</v>
      </c>
      <c r="K298" s="2">
        <v>4</v>
      </c>
      <c r="L298" s="2">
        <v>17</v>
      </c>
      <c r="M298" s="17" t="s">
        <v>22</v>
      </c>
    </row>
    <row r="299" spans="1:26" x14ac:dyDescent="0.3">
      <c r="A299" s="16" t="s">
        <v>328</v>
      </c>
      <c r="B299" s="3">
        <v>46169</v>
      </c>
      <c r="C299" s="2" t="s">
        <v>35</v>
      </c>
      <c r="D299" s="2" t="s">
        <v>19</v>
      </c>
      <c r="E299" s="2" t="s">
        <v>42</v>
      </c>
      <c r="F299" s="2" t="s">
        <v>17</v>
      </c>
      <c r="G299" s="2">
        <v>48</v>
      </c>
      <c r="H299" s="4">
        <v>250</v>
      </c>
      <c r="I299" s="4">
        <v>12000</v>
      </c>
      <c r="J299" s="2">
        <v>88</v>
      </c>
      <c r="K299" s="2">
        <v>2</v>
      </c>
      <c r="L299" s="2">
        <v>20</v>
      </c>
      <c r="M299" s="17" t="s">
        <v>22</v>
      </c>
    </row>
    <row r="300" spans="1:26" x14ac:dyDescent="0.3">
      <c r="A300" s="16" t="s">
        <v>329</v>
      </c>
      <c r="B300" s="3">
        <v>46045</v>
      </c>
      <c r="C300" s="2" t="s">
        <v>30</v>
      </c>
      <c r="D300" s="2" t="s">
        <v>19</v>
      </c>
      <c r="E300" s="2" t="s">
        <v>10</v>
      </c>
      <c r="F300" s="2" t="s">
        <v>31</v>
      </c>
      <c r="G300" s="2">
        <v>9</v>
      </c>
      <c r="H300" s="4">
        <v>10</v>
      </c>
      <c r="I300" s="4">
        <v>90</v>
      </c>
      <c r="J300" s="2">
        <v>98</v>
      </c>
      <c r="K300" s="2">
        <v>4</v>
      </c>
      <c r="L300" s="2">
        <v>19</v>
      </c>
      <c r="M300" s="17" t="s">
        <v>22</v>
      </c>
    </row>
    <row r="301" spans="1:26" x14ac:dyDescent="0.3">
      <c r="A301" s="16" t="s">
        <v>330</v>
      </c>
      <c r="B301" s="3">
        <v>46077</v>
      </c>
      <c r="C301" s="2" t="s">
        <v>14</v>
      </c>
      <c r="D301" s="2" t="s">
        <v>24</v>
      </c>
      <c r="E301" s="2" t="s">
        <v>24</v>
      </c>
      <c r="F301" s="2" t="s">
        <v>17</v>
      </c>
      <c r="G301" s="2">
        <v>48</v>
      </c>
      <c r="H301" s="4">
        <v>50</v>
      </c>
      <c r="I301" s="4">
        <v>2400</v>
      </c>
      <c r="J301" s="2">
        <v>80</v>
      </c>
      <c r="K301" s="2">
        <v>5</v>
      </c>
      <c r="L301" s="2">
        <v>20</v>
      </c>
      <c r="M301" s="17" t="s">
        <v>22</v>
      </c>
    </row>
    <row r="302" spans="1:26" x14ac:dyDescent="0.3">
      <c r="A302" s="16" t="s">
        <v>331</v>
      </c>
      <c r="B302" s="3">
        <v>46029</v>
      </c>
      <c r="C302" s="2" t="s">
        <v>14</v>
      </c>
      <c r="D302" s="2" t="s">
        <v>15</v>
      </c>
      <c r="E302" s="2" t="s">
        <v>20</v>
      </c>
      <c r="F302" s="2" t="s">
        <v>11</v>
      </c>
      <c r="G302" s="2">
        <v>63</v>
      </c>
      <c r="H302" s="4">
        <v>10</v>
      </c>
      <c r="I302" s="4">
        <v>630</v>
      </c>
      <c r="J302" s="2">
        <v>81</v>
      </c>
      <c r="K302" s="2">
        <v>3</v>
      </c>
      <c r="L302" s="2">
        <v>9</v>
      </c>
      <c r="M302" s="17" t="s">
        <v>22</v>
      </c>
    </row>
    <row r="303" spans="1:26" x14ac:dyDescent="0.3">
      <c r="A303" s="16" t="s">
        <v>332</v>
      </c>
      <c r="B303" s="3">
        <v>46095</v>
      </c>
      <c r="C303" s="2" t="s">
        <v>27</v>
      </c>
      <c r="D303" s="2" t="s">
        <v>19</v>
      </c>
      <c r="E303" s="2" t="s">
        <v>42</v>
      </c>
      <c r="F303" s="2" t="s">
        <v>17</v>
      </c>
      <c r="G303" s="2">
        <v>52</v>
      </c>
      <c r="H303" s="4">
        <v>5</v>
      </c>
      <c r="I303" s="4">
        <v>260</v>
      </c>
      <c r="J303" s="2">
        <v>82</v>
      </c>
      <c r="K303" s="2">
        <v>2</v>
      </c>
      <c r="L303" s="2">
        <v>14</v>
      </c>
      <c r="M303" s="17" t="s">
        <v>22</v>
      </c>
    </row>
    <row r="304" spans="1:26" x14ac:dyDescent="0.3">
      <c r="A304" s="16" t="s">
        <v>333</v>
      </c>
      <c r="B304" s="3">
        <v>46126</v>
      </c>
      <c r="C304" s="2" t="s">
        <v>14</v>
      </c>
      <c r="D304" s="2" t="s">
        <v>9</v>
      </c>
      <c r="E304" s="2" t="s">
        <v>42</v>
      </c>
      <c r="F304" s="2" t="s">
        <v>31</v>
      </c>
      <c r="G304" s="2">
        <v>68</v>
      </c>
      <c r="H304" s="4">
        <v>250</v>
      </c>
      <c r="I304" s="4">
        <v>17000</v>
      </c>
      <c r="J304" s="2">
        <v>89</v>
      </c>
      <c r="K304" s="2">
        <v>4</v>
      </c>
      <c r="L304" s="2">
        <v>14</v>
      </c>
      <c r="M304" s="17" t="s">
        <v>22</v>
      </c>
    </row>
    <row r="305" spans="1:13" x14ac:dyDescent="0.3">
      <c r="A305" s="16" t="s">
        <v>334</v>
      </c>
      <c r="B305" s="3">
        <v>46166</v>
      </c>
      <c r="C305" s="2" t="s">
        <v>30</v>
      </c>
      <c r="D305" s="2" t="s">
        <v>9</v>
      </c>
      <c r="E305" s="2" t="s">
        <v>24</v>
      </c>
      <c r="F305" s="2" t="s">
        <v>31</v>
      </c>
      <c r="G305" s="2">
        <v>11</v>
      </c>
      <c r="H305" s="4">
        <v>5</v>
      </c>
      <c r="I305" s="4">
        <v>55</v>
      </c>
      <c r="J305" s="2">
        <v>95</v>
      </c>
      <c r="K305" s="2">
        <v>2</v>
      </c>
      <c r="L305" s="2">
        <v>7</v>
      </c>
      <c r="M305" s="17" t="s">
        <v>22</v>
      </c>
    </row>
    <row r="306" spans="1:13" x14ac:dyDescent="0.3">
      <c r="A306" s="16" t="s">
        <v>335</v>
      </c>
      <c r="B306" s="3">
        <v>46026</v>
      </c>
      <c r="C306" s="2" t="s">
        <v>35</v>
      </c>
      <c r="D306" s="2" t="s">
        <v>24</v>
      </c>
      <c r="E306" s="2" t="s">
        <v>24</v>
      </c>
      <c r="F306" s="2" t="s">
        <v>11</v>
      </c>
      <c r="G306" s="2">
        <v>66</v>
      </c>
      <c r="H306" s="4">
        <v>10</v>
      </c>
      <c r="I306" s="4">
        <v>660</v>
      </c>
      <c r="J306" s="2">
        <v>84</v>
      </c>
      <c r="K306" s="2">
        <v>4</v>
      </c>
      <c r="L306" s="2">
        <v>7</v>
      </c>
      <c r="M306" s="17" t="s">
        <v>22</v>
      </c>
    </row>
    <row r="307" spans="1:13" x14ac:dyDescent="0.3">
      <c r="A307" s="16" t="s">
        <v>336</v>
      </c>
      <c r="B307" s="3">
        <v>46156</v>
      </c>
      <c r="C307" s="2" t="s">
        <v>40</v>
      </c>
      <c r="D307" s="2" t="s">
        <v>19</v>
      </c>
      <c r="E307" s="2" t="s">
        <v>24</v>
      </c>
      <c r="F307" s="2" t="s">
        <v>25</v>
      </c>
      <c r="G307" s="2">
        <v>62</v>
      </c>
      <c r="H307" s="4">
        <v>10</v>
      </c>
      <c r="I307" s="4">
        <v>620</v>
      </c>
      <c r="J307" s="2">
        <v>89</v>
      </c>
      <c r="K307" s="2">
        <v>2</v>
      </c>
      <c r="L307" s="2">
        <v>11</v>
      </c>
      <c r="M307" s="17" t="s">
        <v>22</v>
      </c>
    </row>
    <row r="308" spans="1:13" x14ac:dyDescent="0.3">
      <c r="A308" s="16" t="s">
        <v>337</v>
      </c>
      <c r="B308" s="3">
        <v>46098</v>
      </c>
      <c r="C308" s="2" t="s">
        <v>14</v>
      </c>
      <c r="D308" s="2" t="s">
        <v>15</v>
      </c>
      <c r="E308" s="2" t="s">
        <v>20</v>
      </c>
      <c r="F308" s="2" t="s">
        <v>11</v>
      </c>
      <c r="G308" s="2">
        <v>9</v>
      </c>
      <c r="H308" s="4">
        <v>50</v>
      </c>
      <c r="I308" s="4">
        <v>450</v>
      </c>
      <c r="J308" s="2">
        <v>93</v>
      </c>
      <c r="K308" s="2">
        <v>5</v>
      </c>
      <c r="L308" s="2">
        <v>20</v>
      </c>
      <c r="M308" s="17" t="s">
        <v>22</v>
      </c>
    </row>
    <row r="309" spans="1:13" x14ac:dyDescent="0.3">
      <c r="A309" s="16" t="s">
        <v>338</v>
      </c>
      <c r="B309" s="3">
        <v>46075</v>
      </c>
      <c r="C309" s="2" t="s">
        <v>27</v>
      </c>
      <c r="D309" s="2" t="s">
        <v>9</v>
      </c>
      <c r="E309" s="2" t="s">
        <v>20</v>
      </c>
      <c r="F309" s="2" t="s">
        <v>31</v>
      </c>
      <c r="G309" s="2">
        <v>23</v>
      </c>
      <c r="H309" s="4">
        <v>100</v>
      </c>
      <c r="I309" s="4">
        <v>2300</v>
      </c>
      <c r="J309" s="2">
        <v>85</v>
      </c>
      <c r="K309" s="2">
        <v>5</v>
      </c>
      <c r="L309" s="2">
        <v>8</v>
      </c>
      <c r="M309" s="17" t="s">
        <v>22</v>
      </c>
    </row>
    <row r="310" spans="1:13" x14ac:dyDescent="0.3">
      <c r="A310" s="16" t="s">
        <v>339</v>
      </c>
      <c r="B310" s="3">
        <v>46055</v>
      </c>
      <c r="C310" s="2" t="s">
        <v>40</v>
      </c>
      <c r="D310" s="2" t="s">
        <v>19</v>
      </c>
      <c r="E310" s="2" t="s">
        <v>16</v>
      </c>
      <c r="F310" s="2" t="s">
        <v>25</v>
      </c>
      <c r="G310" s="2">
        <v>40</v>
      </c>
      <c r="H310" s="4">
        <v>10</v>
      </c>
      <c r="I310" s="4">
        <v>400</v>
      </c>
      <c r="J310" s="2">
        <v>96</v>
      </c>
      <c r="K310" s="2">
        <v>3</v>
      </c>
      <c r="L310" s="2">
        <v>20</v>
      </c>
      <c r="M310" s="17" t="s">
        <v>22</v>
      </c>
    </row>
    <row r="311" spans="1:13" x14ac:dyDescent="0.3">
      <c r="A311" s="16" t="s">
        <v>340</v>
      </c>
      <c r="B311" s="3">
        <v>46132</v>
      </c>
      <c r="C311" s="2" t="s">
        <v>30</v>
      </c>
      <c r="D311" s="2" t="s">
        <v>28</v>
      </c>
      <c r="E311" s="2" t="s">
        <v>24</v>
      </c>
      <c r="F311" s="2" t="s">
        <v>31</v>
      </c>
      <c r="G311" s="2">
        <v>19</v>
      </c>
      <c r="H311" s="4">
        <v>250</v>
      </c>
      <c r="I311" s="4">
        <v>4750</v>
      </c>
      <c r="J311" s="2">
        <v>85</v>
      </c>
      <c r="K311" s="2">
        <v>2</v>
      </c>
      <c r="L311" s="2">
        <v>5</v>
      </c>
      <c r="M311" s="17" t="s">
        <v>22</v>
      </c>
    </row>
    <row r="312" spans="1:13" x14ac:dyDescent="0.3">
      <c r="A312" s="16" t="s">
        <v>341</v>
      </c>
      <c r="B312" s="3">
        <v>46098</v>
      </c>
      <c r="C312" s="2" t="s">
        <v>8</v>
      </c>
      <c r="D312" s="2" t="s">
        <v>19</v>
      </c>
      <c r="E312" s="2" t="s">
        <v>20</v>
      </c>
      <c r="F312" s="2" t="s">
        <v>25</v>
      </c>
      <c r="G312" s="2">
        <v>84</v>
      </c>
      <c r="H312" s="4">
        <v>10</v>
      </c>
      <c r="I312" s="4">
        <v>840</v>
      </c>
      <c r="J312" s="2">
        <v>70</v>
      </c>
      <c r="K312" s="2">
        <v>2</v>
      </c>
      <c r="L312" s="2">
        <v>15</v>
      </c>
      <c r="M312" s="17" t="s">
        <v>22</v>
      </c>
    </row>
    <row r="313" spans="1:13" x14ac:dyDescent="0.3">
      <c r="A313" s="16" t="s">
        <v>342</v>
      </c>
      <c r="B313" s="3">
        <v>46039</v>
      </c>
      <c r="C313" s="2" t="s">
        <v>8</v>
      </c>
      <c r="D313" s="2" t="s">
        <v>15</v>
      </c>
      <c r="E313" s="2" t="s">
        <v>16</v>
      </c>
      <c r="F313" s="2" t="s">
        <v>21</v>
      </c>
      <c r="G313" s="2">
        <v>56</v>
      </c>
      <c r="H313" s="4">
        <v>250</v>
      </c>
      <c r="I313" s="4">
        <v>14000</v>
      </c>
      <c r="J313" s="2">
        <v>94</v>
      </c>
      <c r="K313" s="2">
        <v>3</v>
      </c>
      <c r="L313" s="2">
        <v>8</v>
      </c>
      <c r="M313" s="17" t="s">
        <v>22</v>
      </c>
    </row>
    <row r="314" spans="1:13" x14ac:dyDescent="0.3">
      <c r="A314" s="16" t="s">
        <v>343</v>
      </c>
      <c r="B314" s="3">
        <v>46033</v>
      </c>
      <c r="C314" s="2" t="s">
        <v>30</v>
      </c>
      <c r="D314" s="2" t="s">
        <v>9</v>
      </c>
      <c r="E314" s="2" t="s">
        <v>10</v>
      </c>
      <c r="F314" s="2" t="s">
        <v>21</v>
      </c>
      <c r="G314" s="2">
        <v>69</v>
      </c>
      <c r="H314" s="4">
        <v>20</v>
      </c>
      <c r="I314" s="4">
        <v>1380</v>
      </c>
      <c r="J314" s="2">
        <v>74</v>
      </c>
      <c r="K314" s="2">
        <v>4</v>
      </c>
      <c r="L314" s="2">
        <v>12</v>
      </c>
      <c r="M314" s="17" t="s">
        <v>22</v>
      </c>
    </row>
    <row r="315" spans="1:13" x14ac:dyDescent="0.3">
      <c r="A315" s="16" t="s">
        <v>344</v>
      </c>
      <c r="B315" s="3">
        <v>46066</v>
      </c>
      <c r="C315" s="2" t="s">
        <v>30</v>
      </c>
      <c r="D315" s="2" t="s">
        <v>15</v>
      </c>
      <c r="E315" s="2" t="s">
        <v>16</v>
      </c>
      <c r="F315" s="2" t="s">
        <v>21</v>
      </c>
      <c r="G315" s="2">
        <v>2</v>
      </c>
      <c r="H315" s="4">
        <v>250</v>
      </c>
      <c r="I315" s="4">
        <v>500</v>
      </c>
      <c r="J315" s="2">
        <v>78</v>
      </c>
      <c r="K315" s="2">
        <v>4</v>
      </c>
      <c r="L315" s="2">
        <v>12</v>
      </c>
      <c r="M315" s="17" t="s">
        <v>22</v>
      </c>
    </row>
    <row r="316" spans="1:13" x14ac:dyDescent="0.3">
      <c r="A316" s="16" t="s">
        <v>345</v>
      </c>
      <c r="B316" s="3">
        <v>46128</v>
      </c>
      <c r="C316" s="2" t="s">
        <v>30</v>
      </c>
      <c r="D316" s="2" t="s">
        <v>24</v>
      </c>
      <c r="E316" s="2" t="s">
        <v>20</v>
      </c>
      <c r="F316" s="2" t="s">
        <v>31</v>
      </c>
      <c r="G316" s="2">
        <v>11</v>
      </c>
      <c r="H316" s="4">
        <v>5</v>
      </c>
      <c r="I316" s="4">
        <v>55</v>
      </c>
      <c r="J316" s="2">
        <v>86</v>
      </c>
      <c r="K316" s="2">
        <v>5</v>
      </c>
      <c r="L316" s="2">
        <v>2</v>
      </c>
      <c r="M316" s="17" t="s">
        <v>22</v>
      </c>
    </row>
    <row r="317" spans="1:13" x14ac:dyDescent="0.3">
      <c r="A317" s="16" t="s">
        <v>346</v>
      </c>
      <c r="B317" s="3">
        <v>46098</v>
      </c>
      <c r="C317" s="2" t="s">
        <v>35</v>
      </c>
      <c r="D317" s="2" t="s">
        <v>24</v>
      </c>
      <c r="E317" s="2" t="s">
        <v>24</v>
      </c>
      <c r="F317" s="2" t="s">
        <v>11</v>
      </c>
      <c r="G317" s="2">
        <v>73</v>
      </c>
      <c r="H317" s="4">
        <v>10</v>
      </c>
      <c r="I317" s="4">
        <v>730</v>
      </c>
      <c r="J317" s="2">
        <v>87</v>
      </c>
      <c r="K317" s="2">
        <v>2</v>
      </c>
      <c r="L317" s="2">
        <v>2</v>
      </c>
      <c r="M317" s="17" t="s">
        <v>22</v>
      </c>
    </row>
    <row r="318" spans="1:13" x14ac:dyDescent="0.3">
      <c r="A318" s="16" t="s">
        <v>347</v>
      </c>
      <c r="B318" s="3">
        <v>46127</v>
      </c>
      <c r="C318" s="2" t="s">
        <v>30</v>
      </c>
      <c r="D318" s="2" t="s">
        <v>9</v>
      </c>
      <c r="E318" s="2" t="s">
        <v>10</v>
      </c>
      <c r="F318" s="2" t="s">
        <v>21</v>
      </c>
      <c r="G318" s="2">
        <v>38</v>
      </c>
      <c r="H318" s="4">
        <v>50</v>
      </c>
      <c r="I318" s="4">
        <v>1900</v>
      </c>
      <c r="J318" s="2">
        <v>100</v>
      </c>
      <c r="K318" s="2">
        <v>2</v>
      </c>
      <c r="L318" s="2">
        <v>20</v>
      </c>
      <c r="M318" s="17" t="s">
        <v>22</v>
      </c>
    </row>
    <row r="319" spans="1:13" x14ac:dyDescent="0.3">
      <c r="A319" s="16" t="s">
        <v>348</v>
      </c>
      <c r="B319" s="3">
        <v>46180</v>
      </c>
      <c r="C319" s="2" t="s">
        <v>27</v>
      </c>
      <c r="D319" s="2" t="s">
        <v>24</v>
      </c>
      <c r="E319" s="2" t="s">
        <v>42</v>
      </c>
      <c r="F319" s="2" t="s">
        <v>31</v>
      </c>
      <c r="G319" s="2">
        <v>69</v>
      </c>
      <c r="H319" s="4">
        <v>20</v>
      </c>
      <c r="I319" s="4">
        <v>1380</v>
      </c>
      <c r="J319" s="2">
        <v>87</v>
      </c>
      <c r="K319" s="2">
        <v>3</v>
      </c>
      <c r="L319" s="2">
        <v>2</v>
      </c>
      <c r="M319" s="17" t="s">
        <v>22</v>
      </c>
    </row>
    <row r="320" spans="1:13" x14ac:dyDescent="0.3">
      <c r="A320" s="16" t="s">
        <v>349</v>
      </c>
      <c r="B320" s="3">
        <v>46031</v>
      </c>
      <c r="C320" s="2" t="s">
        <v>35</v>
      </c>
      <c r="D320" s="2" t="s">
        <v>28</v>
      </c>
      <c r="E320" s="2" t="s">
        <v>16</v>
      </c>
      <c r="F320" s="2" t="s">
        <v>17</v>
      </c>
      <c r="G320" s="2">
        <v>21</v>
      </c>
      <c r="H320" s="4">
        <v>100</v>
      </c>
      <c r="I320" s="4">
        <v>2100</v>
      </c>
      <c r="J320" s="2">
        <v>71</v>
      </c>
      <c r="K320" s="2">
        <v>2</v>
      </c>
      <c r="L320" s="2">
        <v>2</v>
      </c>
      <c r="M320" s="17" t="s">
        <v>22</v>
      </c>
    </row>
    <row r="321" spans="1:13" x14ac:dyDescent="0.3">
      <c r="A321" s="16" t="s">
        <v>350</v>
      </c>
      <c r="B321" s="3">
        <v>46097</v>
      </c>
      <c r="C321" s="2" t="s">
        <v>40</v>
      </c>
      <c r="D321" s="2" t="s">
        <v>28</v>
      </c>
      <c r="E321" s="2" t="s">
        <v>24</v>
      </c>
      <c r="F321" s="2" t="s">
        <v>21</v>
      </c>
      <c r="G321" s="2">
        <v>95</v>
      </c>
      <c r="H321" s="4">
        <v>20</v>
      </c>
      <c r="I321" s="4">
        <v>1900</v>
      </c>
      <c r="J321" s="2">
        <v>76</v>
      </c>
      <c r="K321" s="2">
        <v>3</v>
      </c>
      <c r="L321" s="2">
        <v>8</v>
      </c>
      <c r="M321" s="17" t="s">
        <v>22</v>
      </c>
    </row>
    <row r="322" spans="1:13" x14ac:dyDescent="0.3">
      <c r="A322" s="16" t="s">
        <v>351</v>
      </c>
      <c r="B322" s="3">
        <v>46083</v>
      </c>
      <c r="C322" s="2" t="s">
        <v>30</v>
      </c>
      <c r="D322" s="2" t="s">
        <v>15</v>
      </c>
      <c r="E322" s="2" t="s">
        <v>24</v>
      </c>
      <c r="F322" s="2" t="s">
        <v>25</v>
      </c>
      <c r="G322" s="2">
        <v>89</v>
      </c>
      <c r="H322" s="4">
        <v>5</v>
      </c>
      <c r="I322" s="4">
        <v>445</v>
      </c>
      <c r="J322" s="2">
        <v>76</v>
      </c>
      <c r="K322" s="2">
        <v>5</v>
      </c>
      <c r="L322" s="2">
        <v>4</v>
      </c>
      <c r="M322" s="17" t="s">
        <v>22</v>
      </c>
    </row>
    <row r="323" spans="1:13" x14ac:dyDescent="0.3">
      <c r="A323" s="16" t="s">
        <v>352</v>
      </c>
      <c r="B323" s="3">
        <v>46046</v>
      </c>
      <c r="C323" s="2" t="s">
        <v>35</v>
      </c>
      <c r="D323" s="2" t="s">
        <v>19</v>
      </c>
      <c r="E323" s="2" t="s">
        <v>10</v>
      </c>
      <c r="F323" s="2" t="s">
        <v>17</v>
      </c>
      <c r="G323" s="2">
        <v>66</v>
      </c>
      <c r="H323" s="4">
        <v>20</v>
      </c>
      <c r="I323" s="4">
        <v>1320</v>
      </c>
      <c r="J323" s="2">
        <v>82</v>
      </c>
      <c r="K323" s="2">
        <v>2</v>
      </c>
      <c r="L323" s="2">
        <v>6</v>
      </c>
      <c r="M323" s="17" t="s">
        <v>22</v>
      </c>
    </row>
    <row r="324" spans="1:13" x14ac:dyDescent="0.3">
      <c r="A324" s="16" t="s">
        <v>353</v>
      </c>
      <c r="B324" s="3">
        <v>46182</v>
      </c>
      <c r="C324" s="2" t="s">
        <v>14</v>
      </c>
      <c r="D324" s="2" t="s">
        <v>9</v>
      </c>
      <c r="E324" s="2" t="s">
        <v>24</v>
      </c>
      <c r="F324" s="2" t="s">
        <v>31</v>
      </c>
      <c r="G324" s="2">
        <v>100</v>
      </c>
      <c r="H324" s="4">
        <v>5</v>
      </c>
      <c r="I324" s="4">
        <v>500</v>
      </c>
      <c r="J324" s="2">
        <v>93</v>
      </c>
      <c r="K324" s="2">
        <v>5</v>
      </c>
      <c r="L324" s="2">
        <v>7</v>
      </c>
      <c r="M324" s="17" t="s">
        <v>22</v>
      </c>
    </row>
    <row r="325" spans="1:13" x14ac:dyDescent="0.3">
      <c r="A325" s="16" t="s">
        <v>354</v>
      </c>
      <c r="B325" s="3">
        <v>46138</v>
      </c>
      <c r="C325" s="2" t="s">
        <v>35</v>
      </c>
      <c r="D325" s="2" t="s">
        <v>19</v>
      </c>
      <c r="E325" s="2" t="s">
        <v>24</v>
      </c>
      <c r="F325" s="2" t="s">
        <v>21</v>
      </c>
      <c r="G325" s="2">
        <v>64</v>
      </c>
      <c r="H325" s="4">
        <v>250</v>
      </c>
      <c r="I325" s="4">
        <v>16000</v>
      </c>
      <c r="J325" s="2">
        <v>91</v>
      </c>
      <c r="K325" s="2">
        <v>4</v>
      </c>
      <c r="L325" s="2">
        <v>11</v>
      </c>
      <c r="M325" s="17" t="s">
        <v>22</v>
      </c>
    </row>
    <row r="326" spans="1:13" x14ac:dyDescent="0.3">
      <c r="A326" s="16" t="s">
        <v>355</v>
      </c>
      <c r="B326" s="3">
        <v>46144</v>
      </c>
      <c r="C326" s="2" t="s">
        <v>35</v>
      </c>
      <c r="D326" s="2" t="s">
        <v>28</v>
      </c>
      <c r="E326" s="2" t="s">
        <v>10</v>
      </c>
      <c r="F326" s="2" t="s">
        <v>25</v>
      </c>
      <c r="G326" s="2">
        <v>11</v>
      </c>
      <c r="H326" s="4">
        <v>100</v>
      </c>
      <c r="I326" s="4">
        <v>1100</v>
      </c>
      <c r="J326" s="2">
        <v>83</v>
      </c>
      <c r="K326" s="2">
        <v>3</v>
      </c>
      <c r="L326" s="2">
        <v>3</v>
      </c>
      <c r="M326" s="17" t="s">
        <v>22</v>
      </c>
    </row>
    <row r="327" spans="1:13" x14ac:dyDescent="0.3">
      <c r="A327" s="16" t="s">
        <v>356</v>
      </c>
      <c r="B327" s="3">
        <v>46055</v>
      </c>
      <c r="C327" s="2" t="s">
        <v>35</v>
      </c>
      <c r="D327" s="2" t="s">
        <v>24</v>
      </c>
      <c r="E327" s="2" t="s">
        <v>10</v>
      </c>
      <c r="F327" s="2" t="s">
        <v>25</v>
      </c>
      <c r="G327" s="2">
        <v>7</v>
      </c>
      <c r="H327" s="4">
        <v>10</v>
      </c>
      <c r="I327" s="4">
        <v>70</v>
      </c>
      <c r="J327" s="2">
        <v>94</v>
      </c>
      <c r="K327" s="2">
        <v>4</v>
      </c>
      <c r="L327" s="2">
        <v>6</v>
      </c>
      <c r="M327" s="17" t="s">
        <v>32</v>
      </c>
    </row>
    <row r="328" spans="1:13" x14ac:dyDescent="0.3">
      <c r="A328" s="16" t="s">
        <v>357</v>
      </c>
      <c r="B328" s="3">
        <v>46069</v>
      </c>
      <c r="C328" s="2" t="s">
        <v>8</v>
      </c>
      <c r="D328" s="2" t="s">
        <v>19</v>
      </c>
      <c r="E328" s="2" t="s">
        <v>16</v>
      </c>
      <c r="F328" s="2" t="s">
        <v>25</v>
      </c>
      <c r="G328" s="2">
        <v>30</v>
      </c>
      <c r="H328" s="4">
        <v>20</v>
      </c>
      <c r="I328" s="4">
        <v>600</v>
      </c>
      <c r="J328" s="2">
        <v>90</v>
      </c>
      <c r="K328" s="2">
        <v>3</v>
      </c>
      <c r="L328" s="2">
        <v>7</v>
      </c>
      <c r="M328" s="17" t="s">
        <v>32</v>
      </c>
    </row>
    <row r="329" spans="1:13" x14ac:dyDescent="0.3">
      <c r="A329" s="16" t="s">
        <v>358</v>
      </c>
      <c r="B329" s="3">
        <v>46073</v>
      </c>
      <c r="C329" s="2" t="s">
        <v>30</v>
      </c>
      <c r="D329" s="2" t="s">
        <v>15</v>
      </c>
      <c r="E329" s="2" t="s">
        <v>10</v>
      </c>
      <c r="F329" s="2" t="s">
        <v>21</v>
      </c>
      <c r="G329" s="2">
        <v>14</v>
      </c>
      <c r="H329" s="4">
        <v>5</v>
      </c>
      <c r="I329" s="4">
        <v>70</v>
      </c>
      <c r="J329" s="2">
        <v>90</v>
      </c>
      <c r="K329" s="2">
        <v>2</v>
      </c>
      <c r="L329" s="2">
        <v>4</v>
      </c>
      <c r="M329" s="17" t="s">
        <v>12</v>
      </c>
    </row>
    <row r="330" spans="1:13" x14ac:dyDescent="0.3">
      <c r="A330" s="16" t="s">
        <v>359</v>
      </c>
      <c r="B330" s="3">
        <v>46147</v>
      </c>
      <c r="C330" s="2" t="s">
        <v>40</v>
      </c>
      <c r="D330" s="2" t="s">
        <v>9</v>
      </c>
      <c r="E330" s="2" t="s">
        <v>16</v>
      </c>
      <c r="F330" s="2" t="s">
        <v>31</v>
      </c>
      <c r="G330" s="2">
        <v>65</v>
      </c>
      <c r="H330" s="4">
        <v>20</v>
      </c>
      <c r="I330" s="4">
        <v>1300</v>
      </c>
      <c r="J330" s="2">
        <v>99</v>
      </c>
      <c r="K330" s="2">
        <v>3</v>
      </c>
      <c r="L330" s="2">
        <v>18</v>
      </c>
      <c r="M330" s="17" t="s">
        <v>32</v>
      </c>
    </row>
    <row r="331" spans="1:13" x14ac:dyDescent="0.3">
      <c r="A331" s="16" t="s">
        <v>360</v>
      </c>
      <c r="B331" s="3">
        <v>46114</v>
      </c>
      <c r="C331" s="2" t="s">
        <v>35</v>
      </c>
      <c r="D331" s="2" t="s">
        <v>28</v>
      </c>
      <c r="E331" s="2" t="s">
        <v>20</v>
      </c>
      <c r="F331" s="2" t="s">
        <v>25</v>
      </c>
      <c r="G331" s="2">
        <v>73</v>
      </c>
      <c r="H331" s="4">
        <v>10</v>
      </c>
      <c r="I331" s="4">
        <v>730</v>
      </c>
      <c r="J331" s="2">
        <v>89</v>
      </c>
      <c r="K331" s="2">
        <v>5</v>
      </c>
      <c r="L331" s="2">
        <v>12</v>
      </c>
      <c r="M331" s="17" t="s">
        <v>22</v>
      </c>
    </row>
    <row r="332" spans="1:13" x14ac:dyDescent="0.3">
      <c r="A332" s="16" t="s">
        <v>361</v>
      </c>
      <c r="B332" s="3">
        <v>46145</v>
      </c>
      <c r="C332" s="2" t="s">
        <v>8</v>
      </c>
      <c r="D332" s="2" t="s">
        <v>9</v>
      </c>
      <c r="E332" s="2" t="s">
        <v>20</v>
      </c>
      <c r="F332" s="2" t="s">
        <v>11</v>
      </c>
      <c r="G332" s="2">
        <v>10</v>
      </c>
      <c r="H332" s="4">
        <v>5</v>
      </c>
      <c r="I332" s="4">
        <v>50</v>
      </c>
      <c r="J332" s="2">
        <v>97</v>
      </c>
      <c r="K332" s="2">
        <v>3</v>
      </c>
      <c r="L332" s="2">
        <v>4</v>
      </c>
      <c r="M332" s="17" t="s">
        <v>22</v>
      </c>
    </row>
    <row r="333" spans="1:13" x14ac:dyDescent="0.3">
      <c r="A333" s="16" t="s">
        <v>362</v>
      </c>
      <c r="B333" s="3">
        <v>46050</v>
      </c>
      <c r="C333" s="2" t="s">
        <v>8</v>
      </c>
      <c r="D333" s="2" t="s">
        <v>28</v>
      </c>
      <c r="E333" s="2" t="s">
        <v>20</v>
      </c>
      <c r="F333" s="2" t="s">
        <v>25</v>
      </c>
      <c r="G333" s="2">
        <v>14</v>
      </c>
      <c r="H333" s="4">
        <v>100</v>
      </c>
      <c r="I333" s="4">
        <v>1400</v>
      </c>
      <c r="J333" s="2">
        <v>74</v>
      </c>
      <c r="K333" s="2">
        <v>2</v>
      </c>
      <c r="L333" s="2">
        <v>11</v>
      </c>
      <c r="M333" s="17" t="s">
        <v>22</v>
      </c>
    </row>
    <row r="334" spans="1:13" x14ac:dyDescent="0.3">
      <c r="A334" s="16" t="s">
        <v>363</v>
      </c>
      <c r="B334" s="3">
        <v>46187</v>
      </c>
      <c r="C334" s="2" t="s">
        <v>27</v>
      </c>
      <c r="D334" s="2" t="s">
        <v>19</v>
      </c>
      <c r="E334" s="2" t="s">
        <v>42</v>
      </c>
      <c r="F334" s="2" t="s">
        <v>25</v>
      </c>
      <c r="G334" s="2">
        <v>100</v>
      </c>
      <c r="H334" s="4">
        <v>20</v>
      </c>
      <c r="I334" s="4">
        <v>2000</v>
      </c>
      <c r="J334" s="2">
        <v>92</v>
      </c>
      <c r="K334" s="2">
        <v>2</v>
      </c>
      <c r="L334" s="2">
        <v>10</v>
      </c>
      <c r="M334" s="17" t="s">
        <v>22</v>
      </c>
    </row>
    <row r="335" spans="1:13" x14ac:dyDescent="0.3">
      <c r="A335" s="16" t="s">
        <v>364</v>
      </c>
      <c r="B335" s="3">
        <v>46068</v>
      </c>
      <c r="C335" s="2" t="s">
        <v>14</v>
      </c>
      <c r="D335" s="2" t="s">
        <v>9</v>
      </c>
      <c r="E335" s="2" t="s">
        <v>42</v>
      </c>
      <c r="F335" s="2" t="s">
        <v>11</v>
      </c>
      <c r="G335" s="2">
        <v>83</v>
      </c>
      <c r="H335" s="4">
        <v>5</v>
      </c>
      <c r="I335" s="4">
        <v>415</v>
      </c>
      <c r="J335" s="2">
        <v>88</v>
      </c>
      <c r="K335" s="2">
        <v>4</v>
      </c>
      <c r="L335" s="2">
        <v>20</v>
      </c>
      <c r="M335" s="17" t="s">
        <v>22</v>
      </c>
    </row>
    <row r="336" spans="1:13" x14ac:dyDescent="0.3">
      <c r="A336" s="16" t="s">
        <v>365</v>
      </c>
      <c r="B336" s="3">
        <v>46098</v>
      </c>
      <c r="C336" s="2" t="s">
        <v>27</v>
      </c>
      <c r="D336" s="2" t="s">
        <v>15</v>
      </c>
      <c r="E336" s="2" t="s">
        <v>10</v>
      </c>
      <c r="F336" s="2" t="s">
        <v>21</v>
      </c>
      <c r="G336" s="2">
        <v>42</v>
      </c>
      <c r="H336" s="4">
        <v>250</v>
      </c>
      <c r="I336" s="4">
        <v>10500</v>
      </c>
      <c r="J336" s="2">
        <v>82</v>
      </c>
      <c r="K336" s="2">
        <v>3</v>
      </c>
      <c r="L336" s="2">
        <v>5</v>
      </c>
      <c r="M336" s="17" t="s">
        <v>22</v>
      </c>
    </row>
    <row r="337" spans="1:13" x14ac:dyDescent="0.3">
      <c r="A337" s="16" t="s">
        <v>366</v>
      </c>
      <c r="B337" s="3">
        <v>46099</v>
      </c>
      <c r="C337" s="2" t="s">
        <v>40</v>
      </c>
      <c r="D337" s="2" t="s">
        <v>28</v>
      </c>
      <c r="E337" s="2" t="s">
        <v>24</v>
      </c>
      <c r="F337" s="2" t="s">
        <v>31</v>
      </c>
      <c r="G337" s="2">
        <v>59</v>
      </c>
      <c r="H337" s="4">
        <v>5</v>
      </c>
      <c r="I337" s="4">
        <v>295</v>
      </c>
      <c r="J337" s="2">
        <v>71</v>
      </c>
      <c r="K337" s="2">
        <v>4</v>
      </c>
      <c r="L337" s="2">
        <v>7</v>
      </c>
      <c r="M337" s="17" t="s">
        <v>22</v>
      </c>
    </row>
    <row r="338" spans="1:13" x14ac:dyDescent="0.3">
      <c r="A338" s="16" t="s">
        <v>367</v>
      </c>
      <c r="B338" s="3">
        <v>46086</v>
      </c>
      <c r="C338" s="2" t="s">
        <v>8</v>
      </c>
      <c r="D338" s="2" t="s">
        <v>9</v>
      </c>
      <c r="E338" s="2" t="s">
        <v>20</v>
      </c>
      <c r="F338" s="2" t="s">
        <v>21</v>
      </c>
      <c r="G338" s="2">
        <v>93</v>
      </c>
      <c r="H338" s="4">
        <v>5</v>
      </c>
      <c r="I338" s="4">
        <v>465</v>
      </c>
      <c r="J338" s="2">
        <v>75</v>
      </c>
      <c r="K338" s="2">
        <v>4</v>
      </c>
      <c r="L338" s="2">
        <v>15</v>
      </c>
      <c r="M338" s="17" t="s">
        <v>32</v>
      </c>
    </row>
    <row r="339" spans="1:13" x14ac:dyDescent="0.3">
      <c r="A339" s="16" t="s">
        <v>368</v>
      </c>
      <c r="B339" s="3">
        <v>46077</v>
      </c>
      <c r="C339" s="2" t="s">
        <v>40</v>
      </c>
      <c r="D339" s="2" t="s">
        <v>24</v>
      </c>
      <c r="E339" s="2" t="s">
        <v>42</v>
      </c>
      <c r="F339" s="2" t="s">
        <v>31</v>
      </c>
      <c r="G339" s="2">
        <v>96</v>
      </c>
      <c r="H339" s="4">
        <v>50</v>
      </c>
      <c r="I339" s="4">
        <v>4800</v>
      </c>
      <c r="J339" s="2">
        <v>72</v>
      </c>
      <c r="K339" s="2">
        <v>5</v>
      </c>
      <c r="L339" s="2">
        <v>19</v>
      </c>
      <c r="M339" s="17" t="s">
        <v>22</v>
      </c>
    </row>
    <row r="340" spans="1:13" x14ac:dyDescent="0.3">
      <c r="A340" s="16" t="s">
        <v>369</v>
      </c>
      <c r="B340" s="3">
        <v>46091</v>
      </c>
      <c r="C340" s="2" t="s">
        <v>30</v>
      </c>
      <c r="D340" s="2" t="s">
        <v>19</v>
      </c>
      <c r="E340" s="2" t="s">
        <v>24</v>
      </c>
      <c r="F340" s="2" t="s">
        <v>21</v>
      </c>
      <c r="G340" s="2">
        <v>10</v>
      </c>
      <c r="H340" s="4">
        <v>10</v>
      </c>
      <c r="I340" s="4">
        <v>100</v>
      </c>
      <c r="J340" s="2">
        <v>72</v>
      </c>
      <c r="K340" s="2">
        <v>2</v>
      </c>
      <c r="L340" s="2">
        <v>8</v>
      </c>
      <c r="M340" s="17" t="s">
        <v>22</v>
      </c>
    </row>
    <row r="341" spans="1:13" x14ac:dyDescent="0.3">
      <c r="A341" s="16" t="s">
        <v>370</v>
      </c>
      <c r="B341" s="3">
        <v>46147</v>
      </c>
      <c r="C341" s="2" t="s">
        <v>14</v>
      </c>
      <c r="D341" s="2" t="s">
        <v>15</v>
      </c>
      <c r="E341" s="2" t="s">
        <v>16</v>
      </c>
      <c r="F341" s="2" t="s">
        <v>11</v>
      </c>
      <c r="G341" s="2">
        <v>7</v>
      </c>
      <c r="H341" s="4">
        <v>100</v>
      </c>
      <c r="I341" s="4">
        <v>700</v>
      </c>
      <c r="J341" s="2">
        <v>100</v>
      </c>
      <c r="K341" s="2">
        <v>2</v>
      </c>
      <c r="L341" s="2">
        <v>11</v>
      </c>
      <c r="M341" s="17" t="s">
        <v>22</v>
      </c>
    </row>
    <row r="342" spans="1:13" x14ac:dyDescent="0.3">
      <c r="A342" s="16" t="s">
        <v>371</v>
      </c>
      <c r="B342" s="3">
        <v>46113</v>
      </c>
      <c r="C342" s="2" t="s">
        <v>35</v>
      </c>
      <c r="D342" s="2" t="s">
        <v>15</v>
      </c>
      <c r="E342" s="2" t="s">
        <v>42</v>
      </c>
      <c r="F342" s="2" t="s">
        <v>25</v>
      </c>
      <c r="G342" s="2">
        <v>10</v>
      </c>
      <c r="H342" s="4">
        <v>20</v>
      </c>
      <c r="I342" s="4">
        <v>200</v>
      </c>
      <c r="J342" s="2">
        <v>74</v>
      </c>
      <c r="K342" s="2">
        <v>5</v>
      </c>
      <c r="L342" s="2">
        <v>14</v>
      </c>
      <c r="M342" s="17" t="s">
        <v>22</v>
      </c>
    </row>
    <row r="343" spans="1:13" x14ac:dyDescent="0.3">
      <c r="A343" s="16" t="s">
        <v>372</v>
      </c>
      <c r="B343" s="3">
        <v>46155</v>
      </c>
      <c r="C343" s="2" t="s">
        <v>14</v>
      </c>
      <c r="D343" s="2" t="s">
        <v>9</v>
      </c>
      <c r="E343" s="2" t="s">
        <v>20</v>
      </c>
      <c r="F343" s="2" t="s">
        <v>17</v>
      </c>
      <c r="G343" s="2">
        <v>10</v>
      </c>
      <c r="H343" s="4">
        <v>5</v>
      </c>
      <c r="I343" s="4">
        <v>50</v>
      </c>
      <c r="J343" s="2">
        <v>71</v>
      </c>
      <c r="K343" s="2">
        <v>3</v>
      </c>
      <c r="L343" s="2">
        <v>17</v>
      </c>
      <c r="M343" s="17" t="s">
        <v>22</v>
      </c>
    </row>
    <row r="344" spans="1:13" x14ac:dyDescent="0.3">
      <c r="A344" s="16" t="s">
        <v>373</v>
      </c>
      <c r="B344" s="3">
        <v>46129</v>
      </c>
      <c r="C344" s="2" t="s">
        <v>14</v>
      </c>
      <c r="D344" s="2" t="s">
        <v>24</v>
      </c>
      <c r="E344" s="2" t="s">
        <v>20</v>
      </c>
      <c r="F344" s="2" t="s">
        <v>31</v>
      </c>
      <c r="G344" s="2">
        <v>23</v>
      </c>
      <c r="H344" s="4">
        <v>5</v>
      </c>
      <c r="I344" s="4">
        <v>115</v>
      </c>
      <c r="J344" s="2">
        <v>81</v>
      </c>
      <c r="K344" s="2">
        <v>4</v>
      </c>
      <c r="L344" s="2">
        <v>11</v>
      </c>
      <c r="M344" s="17" t="s">
        <v>22</v>
      </c>
    </row>
    <row r="345" spans="1:13" x14ac:dyDescent="0.3">
      <c r="A345" s="16" t="s">
        <v>374</v>
      </c>
      <c r="B345" s="3">
        <v>46104</v>
      </c>
      <c r="C345" s="2" t="s">
        <v>14</v>
      </c>
      <c r="D345" s="2" t="s">
        <v>28</v>
      </c>
      <c r="E345" s="2" t="s">
        <v>24</v>
      </c>
      <c r="F345" s="2" t="s">
        <v>11</v>
      </c>
      <c r="G345" s="2">
        <v>26</v>
      </c>
      <c r="H345" s="4">
        <v>50</v>
      </c>
      <c r="I345" s="4">
        <v>1300</v>
      </c>
      <c r="J345" s="2">
        <v>88</v>
      </c>
      <c r="K345" s="2">
        <v>2</v>
      </c>
      <c r="L345" s="2">
        <v>3</v>
      </c>
      <c r="M345" s="17" t="s">
        <v>22</v>
      </c>
    </row>
    <row r="346" spans="1:13" x14ac:dyDescent="0.3">
      <c r="A346" s="16" t="s">
        <v>375</v>
      </c>
      <c r="B346" s="3">
        <v>46106</v>
      </c>
      <c r="C346" s="2" t="s">
        <v>40</v>
      </c>
      <c r="D346" s="2" t="s">
        <v>24</v>
      </c>
      <c r="E346" s="2" t="s">
        <v>16</v>
      </c>
      <c r="F346" s="2" t="s">
        <v>11</v>
      </c>
      <c r="G346" s="2">
        <v>79</v>
      </c>
      <c r="H346" s="4">
        <v>50</v>
      </c>
      <c r="I346" s="4">
        <v>3950</v>
      </c>
      <c r="J346" s="2">
        <v>73</v>
      </c>
      <c r="K346" s="2">
        <v>5</v>
      </c>
      <c r="L346" s="2">
        <v>16</v>
      </c>
      <c r="M346" s="17" t="s">
        <v>22</v>
      </c>
    </row>
    <row r="347" spans="1:13" x14ac:dyDescent="0.3">
      <c r="A347" s="16" t="s">
        <v>376</v>
      </c>
      <c r="B347" s="3">
        <v>46137</v>
      </c>
      <c r="C347" s="2" t="s">
        <v>8</v>
      </c>
      <c r="D347" s="2" t="s">
        <v>9</v>
      </c>
      <c r="E347" s="2" t="s">
        <v>20</v>
      </c>
      <c r="F347" s="2" t="s">
        <v>21</v>
      </c>
      <c r="G347" s="2">
        <v>68</v>
      </c>
      <c r="H347" s="4">
        <v>50</v>
      </c>
      <c r="I347" s="4">
        <v>3400</v>
      </c>
      <c r="J347" s="2">
        <v>100</v>
      </c>
      <c r="K347" s="2">
        <v>4</v>
      </c>
      <c r="L347" s="2">
        <v>19</v>
      </c>
      <c r="M347" s="17" t="s">
        <v>22</v>
      </c>
    </row>
    <row r="348" spans="1:13" x14ac:dyDescent="0.3">
      <c r="A348" s="16" t="s">
        <v>377</v>
      </c>
      <c r="B348" s="3">
        <v>46157</v>
      </c>
      <c r="C348" s="2" t="s">
        <v>30</v>
      </c>
      <c r="D348" s="2" t="s">
        <v>19</v>
      </c>
      <c r="E348" s="2" t="s">
        <v>16</v>
      </c>
      <c r="F348" s="2" t="s">
        <v>11</v>
      </c>
      <c r="G348" s="2">
        <v>27</v>
      </c>
      <c r="H348" s="4">
        <v>20</v>
      </c>
      <c r="I348" s="4">
        <v>540</v>
      </c>
      <c r="J348" s="2">
        <v>76</v>
      </c>
      <c r="K348" s="2">
        <v>5</v>
      </c>
      <c r="L348" s="2">
        <v>4</v>
      </c>
      <c r="M348" s="17" t="s">
        <v>22</v>
      </c>
    </row>
    <row r="349" spans="1:13" x14ac:dyDescent="0.3">
      <c r="A349" s="16" t="s">
        <v>378</v>
      </c>
      <c r="B349" s="3">
        <v>46073</v>
      </c>
      <c r="C349" s="2" t="s">
        <v>35</v>
      </c>
      <c r="D349" s="2" t="s">
        <v>15</v>
      </c>
      <c r="E349" s="2" t="s">
        <v>20</v>
      </c>
      <c r="F349" s="2" t="s">
        <v>17</v>
      </c>
      <c r="G349" s="2">
        <v>13</v>
      </c>
      <c r="H349" s="4">
        <v>20</v>
      </c>
      <c r="I349" s="4">
        <v>260</v>
      </c>
      <c r="J349" s="2">
        <v>91</v>
      </c>
      <c r="K349" s="2">
        <v>2</v>
      </c>
      <c r="L349" s="2">
        <v>20</v>
      </c>
      <c r="M349" s="17" t="s">
        <v>22</v>
      </c>
    </row>
    <row r="350" spans="1:13" x14ac:dyDescent="0.3">
      <c r="A350" s="16" t="s">
        <v>379</v>
      </c>
      <c r="B350" s="3">
        <v>46089</v>
      </c>
      <c r="C350" s="2" t="s">
        <v>40</v>
      </c>
      <c r="D350" s="2" t="s">
        <v>24</v>
      </c>
      <c r="E350" s="2" t="s">
        <v>20</v>
      </c>
      <c r="F350" s="2" t="s">
        <v>17</v>
      </c>
      <c r="G350" s="2">
        <v>12</v>
      </c>
      <c r="H350" s="4">
        <v>20</v>
      </c>
      <c r="I350" s="4">
        <v>240</v>
      </c>
      <c r="J350" s="2">
        <v>98</v>
      </c>
      <c r="K350" s="2">
        <v>5</v>
      </c>
      <c r="L350" s="2">
        <v>2</v>
      </c>
      <c r="M350" s="17" t="s">
        <v>22</v>
      </c>
    </row>
    <row r="351" spans="1:13" x14ac:dyDescent="0.3">
      <c r="A351" s="16" t="s">
        <v>380</v>
      </c>
      <c r="B351" s="3">
        <v>46134</v>
      </c>
      <c r="C351" s="2" t="s">
        <v>35</v>
      </c>
      <c r="D351" s="2" t="s">
        <v>24</v>
      </c>
      <c r="E351" s="2" t="s">
        <v>20</v>
      </c>
      <c r="F351" s="2" t="s">
        <v>31</v>
      </c>
      <c r="G351" s="2">
        <v>52</v>
      </c>
      <c r="H351" s="4">
        <v>50</v>
      </c>
      <c r="I351" s="4">
        <v>2600</v>
      </c>
      <c r="J351" s="2">
        <v>71</v>
      </c>
      <c r="K351" s="2">
        <v>2</v>
      </c>
      <c r="L351" s="2">
        <v>3</v>
      </c>
      <c r="M351" s="17" t="s">
        <v>22</v>
      </c>
    </row>
    <row r="352" spans="1:13" x14ac:dyDescent="0.3">
      <c r="A352" s="16" t="s">
        <v>381</v>
      </c>
      <c r="B352" s="3">
        <v>46130</v>
      </c>
      <c r="C352" s="2" t="s">
        <v>27</v>
      </c>
      <c r="D352" s="2" t="s">
        <v>28</v>
      </c>
      <c r="E352" s="2" t="s">
        <v>10</v>
      </c>
      <c r="F352" s="2" t="s">
        <v>11</v>
      </c>
      <c r="G352" s="2">
        <v>46</v>
      </c>
      <c r="H352" s="4">
        <v>50</v>
      </c>
      <c r="I352" s="4">
        <v>2300</v>
      </c>
      <c r="J352" s="2">
        <v>72</v>
      </c>
      <c r="K352" s="2">
        <v>3</v>
      </c>
      <c r="L352" s="2">
        <v>8</v>
      </c>
      <c r="M352" s="17" t="s">
        <v>22</v>
      </c>
    </row>
    <row r="353" spans="1:13" x14ac:dyDescent="0.3">
      <c r="A353" s="16" t="s">
        <v>382</v>
      </c>
      <c r="B353" s="3">
        <v>46184</v>
      </c>
      <c r="C353" s="2" t="s">
        <v>40</v>
      </c>
      <c r="D353" s="2" t="s">
        <v>24</v>
      </c>
      <c r="E353" s="2" t="s">
        <v>42</v>
      </c>
      <c r="F353" s="2" t="s">
        <v>31</v>
      </c>
      <c r="G353" s="2">
        <v>85</v>
      </c>
      <c r="H353" s="4">
        <v>10</v>
      </c>
      <c r="I353" s="4">
        <v>850</v>
      </c>
      <c r="J353" s="2">
        <v>88</v>
      </c>
      <c r="K353" s="2">
        <v>5</v>
      </c>
      <c r="L353" s="2">
        <v>15</v>
      </c>
      <c r="M353" s="17" t="s">
        <v>32</v>
      </c>
    </row>
    <row r="354" spans="1:13" x14ac:dyDescent="0.3">
      <c r="A354" s="16" t="s">
        <v>383</v>
      </c>
      <c r="B354" s="3">
        <v>46050</v>
      </c>
      <c r="C354" s="2" t="s">
        <v>30</v>
      </c>
      <c r="D354" s="2" t="s">
        <v>9</v>
      </c>
      <c r="E354" s="2" t="s">
        <v>16</v>
      </c>
      <c r="F354" s="2" t="s">
        <v>17</v>
      </c>
      <c r="G354" s="2">
        <v>35</v>
      </c>
      <c r="H354" s="4">
        <v>250</v>
      </c>
      <c r="I354" s="4">
        <v>8750</v>
      </c>
      <c r="J354" s="2">
        <v>83</v>
      </c>
      <c r="K354" s="2">
        <v>4</v>
      </c>
      <c r="L354" s="2">
        <v>19</v>
      </c>
      <c r="M354" s="17" t="s">
        <v>22</v>
      </c>
    </row>
    <row r="355" spans="1:13" x14ac:dyDescent="0.3">
      <c r="A355" s="16" t="s">
        <v>384</v>
      </c>
      <c r="B355" s="3">
        <v>46163</v>
      </c>
      <c r="C355" s="2" t="s">
        <v>40</v>
      </c>
      <c r="D355" s="2" t="s">
        <v>28</v>
      </c>
      <c r="E355" s="2" t="s">
        <v>10</v>
      </c>
      <c r="F355" s="2" t="s">
        <v>21</v>
      </c>
      <c r="G355" s="2">
        <v>85</v>
      </c>
      <c r="H355" s="4">
        <v>250</v>
      </c>
      <c r="I355" s="4">
        <v>21250</v>
      </c>
      <c r="J355" s="2">
        <v>87</v>
      </c>
      <c r="K355" s="2">
        <v>5</v>
      </c>
      <c r="L355" s="2">
        <v>15</v>
      </c>
      <c r="M355" s="17" t="s">
        <v>22</v>
      </c>
    </row>
    <row r="356" spans="1:13" x14ac:dyDescent="0.3">
      <c r="A356" s="16" t="s">
        <v>385</v>
      </c>
      <c r="B356" s="3">
        <v>46166</v>
      </c>
      <c r="C356" s="2" t="s">
        <v>27</v>
      </c>
      <c r="D356" s="2" t="s">
        <v>19</v>
      </c>
      <c r="E356" s="2" t="s">
        <v>42</v>
      </c>
      <c r="F356" s="2" t="s">
        <v>17</v>
      </c>
      <c r="G356" s="2">
        <v>99</v>
      </c>
      <c r="H356" s="4">
        <v>50</v>
      </c>
      <c r="I356" s="4">
        <v>4950</v>
      </c>
      <c r="J356" s="2">
        <v>82</v>
      </c>
      <c r="K356" s="2">
        <v>2</v>
      </c>
      <c r="L356" s="2">
        <v>8</v>
      </c>
      <c r="M356" s="17" t="s">
        <v>12</v>
      </c>
    </row>
    <row r="357" spans="1:13" x14ac:dyDescent="0.3">
      <c r="A357" s="16" t="s">
        <v>386</v>
      </c>
      <c r="B357" s="3">
        <v>46153</v>
      </c>
      <c r="C357" s="2" t="s">
        <v>14</v>
      </c>
      <c r="D357" s="2" t="s">
        <v>9</v>
      </c>
      <c r="E357" s="2" t="s">
        <v>10</v>
      </c>
      <c r="F357" s="2" t="s">
        <v>25</v>
      </c>
      <c r="G357" s="2">
        <v>49</v>
      </c>
      <c r="H357" s="4">
        <v>10</v>
      </c>
      <c r="I357" s="4">
        <v>490</v>
      </c>
      <c r="J357" s="2">
        <v>95</v>
      </c>
      <c r="K357" s="2">
        <v>2</v>
      </c>
      <c r="L357" s="2">
        <v>17</v>
      </c>
      <c r="M357" s="17" t="s">
        <v>22</v>
      </c>
    </row>
    <row r="358" spans="1:13" x14ac:dyDescent="0.3">
      <c r="A358" s="16" t="s">
        <v>387</v>
      </c>
      <c r="B358" s="3">
        <v>46083</v>
      </c>
      <c r="C358" s="2" t="s">
        <v>30</v>
      </c>
      <c r="D358" s="2" t="s">
        <v>15</v>
      </c>
      <c r="E358" s="2" t="s">
        <v>10</v>
      </c>
      <c r="F358" s="2" t="s">
        <v>11</v>
      </c>
      <c r="G358" s="2">
        <v>6</v>
      </c>
      <c r="H358" s="4">
        <v>10</v>
      </c>
      <c r="I358" s="4">
        <v>60</v>
      </c>
      <c r="J358" s="2">
        <v>80</v>
      </c>
      <c r="K358" s="2">
        <v>2</v>
      </c>
      <c r="L358" s="2">
        <v>19</v>
      </c>
      <c r="M358" s="17" t="s">
        <v>22</v>
      </c>
    </row>
    <row r="359" spans="1:13" x14ac:dyDescent="0.3">
      <c r="A359" s="16" t="s">
        <v>388</v>
      </c>
      <c r="B359" s="3">
        <v>46057</v>
      </c>
      <c r="C359" s="2" t="s">
        <v>35</v>
      </c>
      <c r="D359" s="2" t="s">
        <v>9</v>
      </c>
      <c r="E359" s="2" t="s">
        <v>42</v>
      </c>
      <c r="F359" s="2" t="s">
        <v>21</v>
      </c>
      <c r="G359" s="2">
        <v>43</v>
      </c>
      <c r="H359" s="4">
        <v>50</v>
      </c>
      <c r="I359" s="4">
        <v>2150</v>
      </c>
      <c r="J359" s="2">
        <v>71</v>
      </c>
      <c r="K359" s="2">
        <v>3</v>
      </c>
      <c r="L359" s="2">
        <v>8</v>
      </c>
      <c r="M359" s="17" t="s">
        <v>22</v>
      </c>
    </row>
    <row r="360" spans="1:13" x14ac:dyDescent="0.3">
      <c r="A360" s="16" t="s">
        <v>389</v>
      </c>
      <c r="B360" s="3">
        <v>46096</v>
      </c>
      <c r="C360" s="2" t="s">
        <v>30</v>
      </c>
      <c r="D360" s="2" t="s">
        <v>15</v>
      </c>
      <c r="E360" s="2" t="s">
        <v>20</v>
      </c>
      <c r="F360" s="2" t="s">
        <v>21</v>
      </c>
      <c r="G360" s="2">
        <v>11</v>
      </c>
      <c r="H360" s="4">
        <v>250</v>
      </c>
      <c r="I360" s="4">
        <v>2750</v>
      </c>
      <c r="J360" s="2">
        <v>80</v>
      </c>
      <c r="K360" s="2">
        <v>5</v>
      </c>
      <c r="L360" s="2">
        <v>8</v>
      </c>
      <c r="M360" s="17" t="s">
        <v>22</v>
      </c>
    </row>
    <row r="361" spans="1:13" x14ac:dyDescent="0.3">
      <c r="A361" s="16" t="s">
        <v>390</v>
      </c>
      <c r="B361" s="3">
        <v>46079</v>
      </c>
      <c r="C361" s="2" t="s">
        <v>35</v>
      </c>
      <c r="D361" s="2" t="s">
        <v>9</v>
      </c>
      <c r="E361" s="2" t="s">
        <v>10</v>
      </c>
      <c r="F361" s="2" t="s">
        <v>21</v>
      </c>
      <c r="G361" s="2">
        <v>60</v>
      </c>
      <c r="H361" s="4">
        <v>100</v>
      </c>
      <c r="I361" s="4">
        <v>6000</v>
      </c>
      <c r="J361" s="2">
        <v>76</v>
      </c>
      <c r="K361" s="2">
        <v>3</v>
      </c>
      <c r="L361" s="2">
        <v>18</v>
      </c>
      <c r="M361" s="17" t="s">
        <v>22</v>
      </c>
    </row>
    <row r="362" spans="1:13" x14ac:dyDescent="0.3">
      <c r="A362" s="16" t="s">
        <v>391</v>
      </c>
      <c r="B362" s="3">
        <v>46108</v>
      </c>
      <c r="C362" s="2" t="s">
        <v>40</v>
      </c>
      <c r="D362" s="2" t="s">
        <v>28</v>
      </c>
      <c r="E362" s="2" t="s">
        <v>42</v>
      </c>
      <c r="F362" s="2" t="s">
        <v>25</v>
      </c>
      <c r="G362" s="2">
        <v>73</v>
      </c>
      <c r="H362" s="4">
        <v>50</v>
      </c>
      <c r="I362" s="4">
        <v>3650</v>
      </c>
      <c r="J362" s="2">
        <v>90</v>
      </c>
      <c r="K362" s="2">
        <v>3</v>
      </c>
      <c r="L362" s="2">
        <v>8</v>
      </c>
      <c r="M362" s="17" t="s">
        <v>22</v>
      </c>
    </row>
    <row r="363" spans="1:13" x14ac:dyDescent="0.3">
      <c r="A363" s="16" t="s">
        <v>392</v>
      </c>
      <c r="B363" s="3">
        <v>46175</v>
      </c>
      <c r="C363" s="2" t="s">
        <v>8</v>
      </c>
      <c r="D363" s="2" t="s">
        <v>24</v>
      </c>
      <c r="E363" s="2" t="s">
        <v>24</v>
      </c>
      <c r="F363" s="2" t="s">
        <v>25</v>
      </c>
      <c r="G363" s="2">
        <v>23</v>
      </c>
      <c r="H363" s="4">
        <v>5</v>
      </c>
      <c r="I363" s="4">
        <v>115</v>
      </c>
      <c r="J363" s="2">
        <v>76</v>
      </c>
      <c r="K363" s="2">
        <v>4</v>
      </c>
      <c r="L363" s="2">
        <v>4</v>
      </c>
      <c r="M363" s="17" t="s">
        <v>22</v>
      </c>
    </row>
    <row r="364" spans="1:13" x14ac:dyDescent="0.3">
      <c r="A364" s="16" t="s">
        <v>393</v>
      </c>
      <c r="B364" s="3">
        <v>46134</v>
      </c>
      <c r="C364" s="2" t="s">
        <v>35</v>
      </c>
      <c r="D364" s="2" t="s">
        <v>15</v>
      </c>
      <c r="E364" s="2" t="s">
        <v>24</v>
      </c>
      <c r="F364" s="2" t="s">
        <v>17</v>
      </c>
      <c r="G364" s="2">
        <v>99</v>
      </c>
      <c r="H364" s="4">
        <v>50</v>
      </c>
      <c r="I364" s="4">
        <v>4950</v>
      </c>
      <c r="J364" s="2">
        <v>90</v>
      </c>
      <c r="K364" s="2">
        <v>5</v>
      </c>
      <c r="L364" s="2">
        <v>2</v>
      </c>
      <c r="M364" s="17" t="s">
        <v>32</v>
      </c>
    </row>
    <row r="365" spans="1:13" x14ac:dyDescent="0.3">
      <c r="A365" s="16" t="s">
        <v>394</v>
      </c>
      <c r="B365" s="3">
        <v>46060</v>
      </c>
      <c r="C365" s="2" t="s">
        <v>27</v>
      </c>
      <c r="D365" s="2" t="s">
        <v>28</v>
      </c>
      <c r="E365" s="2" t="s">
        <v>42</v>
      </c>
      <c r="F365" s="2" t="s">
        <v>31</v>
      </c>
      <c r="G365" s="2">
        <v>22</v>
      </c>
      <c r="H365" s="4">
        <v>100</v>
      </c>
      <c r="I365" s="4">
        <v>2200</v>
      </c>
      <c r="J365" s="2">
        <v>74</v>
      </c>
      <c r="K365" s="2">
        <v>3</v>
      </c>
      <c r="L365" s="2">
        <v>9</v>
      </c>
      <c r="M365" s="17" t="s">
        <v>32</v>
      </c>
    </row>
    <row r="366" spans="1:13" x14ac:dyDescent="0.3">
      <c r="A366" s="16" t="s">
        <v>395</v>
      </c>
      <c r="B366" s="3">
        <v>46095</v>
      </c>
      <c r="C366" s="2" t="s">
        <v>14</v>
      </c>
      <c r="D366" s="2" t="s">
        <v>9</v>
      </c>
      <c r="E366" s="2" t="s">
        <v>24</v>
      </c>
      <c r="F366" s="2" t="s">
        <v>17</v>
      </c>
      <c r="G366" s="2">
        <v>61</v>
      </c>
      <c r="H366" s="4">
        <v>250</v>
      </c>
      <c r="I366" s="4">
        <v>15250</v>
      </c>
      <c r="J366" s="2">
        <v>83</v>
      </c>
      <c r="K366" s="2">
        <v>3</v>
      </c>
      <c r="L366" s="2">
        <v>10</v>
      </c>
      <c r="M366" s="17" t="s">
        <v>22</v>
      </c>
    </row>
    <row r="367" spans="1:13" x14ac:dyDescent="0.3">
      <c r="A367" s="16" t="s">
        <v>396</v>
      </c>
      <c r="B367" s="3">
        <v>46198</v>
      </c>
      <c r="C367" s="2" t="s">
        <v>40</v>
      </c>
      <c r="D367" s="2" t="s">
        <v>19</v>
      </c>
      <c r="E367" s="2" t="s">
        <v>20</v>
      </c>
      <c r="F367" s="2" t="s">
        <v>17</v>
      </c>
      <c r="G367" s="2">
        <v>59</v>
      </c>
      <c r="H367" s="4">
        <v>100</v>
      </c>
      <c r="I367" s="4">
        <v>5900</v>
      </c>
      <c r="J367" s="2">
        <v>72</v>
      </c>
      <c r="K367" s="2">
        <v>2</v>
      </c>
      <c r="L367" s="2">
        <v>9</v>
      </c>
      <c r="M367" s="17" t="s">
        <v>22</v>
      </c>
    </row>
    <row r="368" spans="1:13" x14ac:dyDescent="0.3">
      <c r="A368" s="16" t="s">
        <v>397</v>
      </c>
      <c r="B368" s="3">
        <v>46076</v>
      </c>
      <c r="C368" s="2" t="s">
        <v>30</v>
      </c>
      <c r="D368" s="2" t="s">
        <v>24</v>
      </c>
      <c r="E368" s="2" t="s">
        <v>24</v>
      </c>
      <c r="F368" s="2" t="s">
        <v>31</v>
      </c>
      <c r="G368" s="2">
        <v>64</v>
      </c>
      <c r="H368" s="4">
        <v>50</v>
      </c>
      <c r="I368" s="4">
        <v>3200</v>
      </c>
      <c r="J368" s="2">
        <v>70</v>
      </c>
      <c r="K368" s="2">
        <v>3</v>
      </c>
      <c r="L368" s="2">
        <v>8</v>
      </c>
      <c r="M368" s="17" t="s">
        <v>22</v>
      </c>
    </row>
    <row r="369" spans="1:13" x14ac:dyDescent="0.3">
      <c r="A369" s="16" t="s">
        <v>398</v>
      </c>
      <c r="B369" s="3">
        <v>46039</v>
      </c>
      <c r="C369" s="2" t="s">
        <v>35</v>
      </c>
      <c r="D369" s="2" t="s">
        <v>24</v>
      </c>
      <c r="E369" s="2" t="s">
        <v>20</v>
      </c>
      <c r="F369" s="2" t="s">
        <v>21</v>
      </c>
      <c r="G369" s="2">
        <v>98</v>
      </c>
      <c r="H369" s="4">
        <v>100</v>
      </c>
      <c r="I369" s="4">
        <v>9800</v>
      </c>
      <c r="J369" s="2">
        <v>86</v>
      </c>
      <c r="K369" s="2">
        <v>4</v>
      </c>
      <c r="L369" s="2">
        <v>6</v>
      </c>
      <c r="M369" s="17" t="s">
        <v>22</v>
      </c>
    </row>
    <row r="370" spans="1:13" x14ac:dyDescent="0.3">
      <c r="A370" s="16" t="s">
        <v>399</v>
      </c>
      <c r="B370" s="3">
        <v>46074</v>
      </c>
      <c r="C370" s="2" t="s">
        <v>8</v>
      </c>
      <c r="D370" s="2" t="s">
        <v>9</v>
      </c>
      <c r="E370" s="2" t="s">
        <v>24</v>
      </c>
      <c r="F370" s="2" t="s">
        <v>17</v>
      </c>
      <c r="G370" s="2">
        <v>62</v>
      </c>
      <c r="H370" s="4">
        <v>10</v>
      </c>
      <c r="I370" s="4">
        <v>620</v>
      </c>
      <c r="J370" s="2">
        <v>98</v>
      </c>
      <c r="K370" s="2">
        <v>5</v>
      </c>
      <c r="L370" s="2">
        <v>9</v>
      </c>
      <c r="M370" s="17" t="s">
        <v>22</v>
      </c>
    </row>
    <row r="371" spans="1:13" x14ac:dyDescent="0.3">
      <c r="A371" s="16" t="s">
        <v>400</v>
      </c>
      <c r="B371" s="3">
        <v>46124</v>
      </c>
      <c r="C371" s="2" t="s">
        <v>8</v>
      </c>
      <c r="D371" s="2" t="s">
        <v>15</v>
      </c>
      <c r="E371" s="2" t="s">
        <v>10</v>
      </c>
      <c r="F371" s="2" t="s">
        <v>17</v>
      </c>
      <c r="G371" s="2">
        <v>6</v>
      </c>
      <c r="H371" s="4">
        <v>50</v>
      </c>
      <c r="I371" s="4">
        <v>300</v>
      </c>
      <c r="J371" s="2">
        <v>96</v>
      </c>
      <c r="K371" s="2">
        <v>4</v>
      </c>
      <c r="L371" s="2">
        <v>19</v>
      </c>
      <c r="M371" s="17" t="s">
        <v>22</v>
      </c>
    </row>
    <row r="372" spans="1:13" x14ac:dyDescent="0.3">
      <c r="A372" s="16" t="s">
        <v>401</v>
      </c>
      <c r="B372" s="3">
        <v>46073</v>
      </c>
      <c r="C372" s="2" t="s">
        <v>40</v>
      </c>
      <c r="D372" s="2" t="s">
        <v>15</v>
      </c>
      <c r="E372" s="2" t="s">
        <v>42</v>
      </c>
      <c r="F372" s="2" t="s">
        <v>11</v>
      </c>
      <c r="G372" s="2">
        <v>7</v>
      </c>
      <c r="H372" s="4">
        <v>50</v>
      </c>
      <c r="I372" s="4">
        <v>350</v>
      </c>
      <c r="J372" s="2">
        <v>85</v>
      </c>
      <c r="K372" s="2">
        <v>4</v>
      </c>
      <c r="L372" s="2">
        <v>18</v>
      </c>
      <c r="M372" s="17" t="s">
        <v>22</v>
      </c>
    </row>
    <row r="373" spans="1:13" x14ac:dyDescent="0.3">
      <c r="A373" s="16" t="s">
        <v>402</v>
      </c>
      <c r="B373" s="3">
        <v>46158</v>
      </c>
      <c r="C373" s="2" t="s">
        <v>8</v>
      </c>
      <c r="D373" s="2" t="s">
        <v>24</v>
      </c>
      <c r="E373" s="2" t="s">
        <v>10</v>
      </c>
      <c r="F373" s="2" t="s">
        <v>17</v>
      </c>
      <c r="G373" s="2">
        <v>65</v>
      </c>
      <c r="H373" s="4">
        <v>5</v>
      </c>
      <c r="I373" s="4">
        <v>325</v>
      </c>
      <c r="J373" s="2">
        <v>76</v>
      </c>
      <c r="K373" s="2">
        <v>3</v>
      </c>
      <c r="L373" s="2">
        <v>15</v>
      </c>
      <c r="M373" s="17" t="s">
        <v>22</v>
      </c>
    </row>
    <row r="374" spans="1:13" x14ac:dyDescent="0.3">
      <c r="A374" s="16" t="s">
        <v>403</v>
      </c>
      <c r="B374" s="3">
        <v>46095</v>
      </c>
      <c r="C374" s="2" t="s">
        <v>30</v>
      </c>
      <c r="D374" s="2" t="s">
        <v>19</v>
      </c>
      <c r="E374" s="2" t="s">
        <v>10</v>
      </c>
      <c r="F374" s="2" t="s">
        <v>11</v>
      </c>
      <c r="G374" s="2">
        <v>9</v>
      </c>
      <c r="H374" s="4">
        <v>250</v>
      </c>
      <c r="I374" s="4">
        <v>2250</v>
      </c>
      <c r="J374" s="2">
        <v>97</v>
      </c>
      <c r="K374" s="2">
        <v>5</v>
      </c>
      <c r="L374" s="2">
        <v>3</v>
      </c>
      <c r="M374" s="17" t="s">
        <v>22</v>
      </c>
    </row>
    <row r="375" spans="1:13" x14ac:dyDescent="0.3">
      <c r="A375" s="16" t="s">
        <v>404</v>
      </c>
      <c r="B375" s="3">
        <v>46129</v>
      </c>
      <c r="C375" s="2" t="s">
        <v>40</v>
      </c>
      <c r="D375" s="2" t="s">
        <v>19</v>
      </c>
      <c r="E375" s="2" t="s">
        <v>42</v>
      </c>
      <c r="F375" s="2" t="s">
        <v>31</v>
      </c>
      <c r="G375" s="2">
        <v>33</v>
      </c>
      <c r="H375" s="4">
        <v>100</v>
      </c>
      <c r="I375" s="4">
        <v>3300</v>
      </c>
      <c r="J375" s="2">
        <v>99</v>
      </c>
      <c r="K375" s="2">
        <v>3</v>
      </c>
      <c r="L375" s="2">
        <v>10</v>
      </c>
      <c r="M375" s="17" t="s">
        <v>22</v>
      </c>
    </row>
    <row r="376" spans="1:13" x14ac:dyDescent="0.3">
      <c r="A376" s="16" t="s">
        <v>405</v>
      </c>
      <c r="B376" s="3">
        <v>46199</v>
      </c>
      <c r="C376" s="2" t="s">
        <v>40</v>
      </c>
      <c r="D376" s="2" t="s">
        <v>24</v>
      </c>
      <c r="E376" s="2" t="s">
        <v>24</v>
      </c>
      <c r="F376" s="2" t="s">
        <v>11</v>
      </c>
      <c r="G376" s="2">
        <v>61</v>
      </c>
      <c r="H376" s="4">
        <v>5</v>
      </c>
      <c r="I376" s="4">
        <v>305</v>
      </c>
      <c r="J376" s="2">
        <v>90</v>
      </c>
      <c r="K376" s="2">
        <v>5</v>
      </c>
      <c r="L376" s="2">
        <v>14</v>
      </c>
      <c r="M376" s="17" t="s">
        <v>22</v>
      </c>
    </row>
    <row r="377" spans="1:13" x14ac:dyDescent="0.3">
      <c r="A377" s="16" t="s">
        <v>406</v>
      </c>
      <c r="B377" s="3">
        <v>46071</v>
      </c>
      <c r="C377" s="2" t="s">
        <v>14</v>
      </c>
      <c r="D377" s="2" t="s">
        <v>24</v>
      </c>
      <c r="E377" s="2" t="s">
        <v>20</v>
      </c>
      <c r="F377" s="2" t="s">
        <v>31</v>
      </c>
      <c r="G377" s="2">
        <v>12</v>
      </c>
      <c r="H377" s="4">
        <v>50</v>
      </c>
      <c r="I377" s="4">
        <v>600</v>
      </c>
      <c r="J377" s="2">
        <v>92</v>
      </c>
      <c r="K377" s="2">
        <v>4</v>
      </c>
      <c r="L377" s="2">
        <v>2</v>
      </c>
      <c r="M377" s="17" t="s">
        <v>22</v>
      </c>
    </row>
    <row r="378" spans="1:13" x14ac:dyDescent="0.3">
      <c r="A378" s="16" t="s">
        <v>407</v>
      </c>
      <c r="B378" s="3">
        <v>46144</v>
      </c>
      <c r="C378" s="2" t="s">
        <v>27</v>
      </c>
      <c r="D378" s="2" t="s">
        <v>28</v>
      </c>
      <c r="E378" s="2" t="s">
        <v>42</v>
      </c>
      <c r="F378" s="2" t="s">
        <v>17</v>
      </c>
      <c r="G378" s="2">
        <v>12</v>
      </c>
      <c r="H378" s="4">
        <v>5</v>
      </c>
      <c r="I378" s="4">
        <v>60</v>
      </c>
      <c r="J378" s="2">
        <v>81</v>
      </c>
      <c r="K378" s="2">
        <v>3</v>
      </c>
      <c r="L378" s="2">
        <v>9</v>
      </c>
      <c r="M378" s="17" t="s">
        <v>32</v>
      </c>
    </row>
    <row r="379" spans="1:13" x14ac:dyDescent="0.3">
      <c r="A379" s="16" t="s">
        <v>408</v>
      </c>
      <c r="B379" s="3">
        <v>46107</v>
      </c>
      <c r="C379" s="2" t="s">
        <v>14</v>
      </c>
      <c r="D379" s="2" t="s">
        <v>28</v>
      </c>
      <c r="E379" s="2" t="s">
        <v>10</v>
      </c>
      <c r="F379" s="2" t="s">
        <v>17</v>
      </c>
      <c r="G379" s="2">
        <v>41</v>
      </c>
      <c r="H379" s="4">
        <v>250</v>
      </c>
      <c r="I379" s="4">
        <v>10250</v>
      </c>
      <c r="J379" s="2">
        <v>80</v>
      </c>
      <c r="K379" s="2">
        <v>3</v>
      </c>
      <c r="L379" s="2">
        <v>8</v>
      </c>
      <c r="M379" s="17" t="s">
        <v>22</v>
      </c>
    </row>
    <row r="380" spans="1:13" x14ac:dyDescent="0.3">
      <c r="A380" s="16" t="s">
        <v>409</v>
      </c>
      <c r="B380" s="3">
        <v>46145</v>
      </c>
      <c r="C380" s="2" t="s">
        <v>8</v>
      </c>
      <c r="D380" s="2" t="s">
        <v>15</v>
      </c>
      <c r="E380" s="2" t="s">
        <v>20</v>
      </c>
      <c r="F380" s="2" t="s">
        <v>21</v>
      </c>
      <c r="G380" s="2">
        <v>89</v>
      </c>
      <c r="H380" s="4">
        <v>250</v>
      </c>
      <c r="I380" s="4">
        <v>22250</v>
      </c>
      <c r="J380" s="2">
        <v>96</v>
      </c>
      <c r="K380" s="2">
        <v>2</v>
      </c>
      <c r="L380" s="2">
        <v>20</v>
      </c>
      <c r="M380" s="17" t="s">
        <v>12</v>
      </c>
    </row>
    <row r="381" spans="1:13" x14ac:dyDescent="0.3">
      <c r="A381" s="16" t="s">
        <v>410</v>
      </c>
      <c r="B381" s="3">
        <v>46169</v>
      </c>
      <c r="C381" s="2" t="s">
        <v>27</v>
      </c>
      <c r="D381" s="2" t="s">
        <v>9</v>
      </c>
      <c r="E381" s="2" t="s">
        <v>16</v>
      </c>
      <c r="F381" s="2" t="s">
        <v>21</v>
      </c>
      <c r="G381" s="2">
        <v>32</v>
      </c>
      <c r="H381" s="4">
        <v>50</v>
      </c>
      <c r="I381" s="4">
        <v>1600</v>
      </c>
      <c r="J381" s="2">
        <v>89</v>
      </c>
      <c r="K381" s="2">
        <v>4</v>
      </c>
      <c r="L381" s="2">
        <v>17</v>
      </c>
      <c r="M381" s="17" t="s">
        <v>22</v>
      </c>
    </row>
    <row r="382" spans="1:13" x14ac:dyDescent="0.3">
      <c r="A382" s="16" t="s">
        <v>411</v>
      </c>
      <c r="B382" s="3">
        <v>46128</v>
      </c>
      <c r="C382" s="2" t="s">
        <v>30</v>
      </c>
      <c r="D382" s="2" t="s">
        <v>28</v>
      </c>
      <c r="E382" s="2" t="s">
        <v>10</v>
      </c>
      <c r="F382" s="2" t="s">
        <v>31</v>
      </c>
      <c r="G382" s="2">
        <v>17</v>
      </c>
      <c r="H382" s="4">
        <v>10</v>
      </c>
      <c r="I382" s="4">
        <v>170</v>
      </c>
      <c r="J382" s="2">
        <v>81</v>
      </c>
      <c r="K382" s="2">
        <v>3</v>
      </c>
      <c r="L382" s="2">
        <v>7</v>
      </c>
      <c r="M382" s="17" t="s">
        <v>22</v>
      </c>
    </row>
    <row r="383" spans="1:13" x14ac:dyDescent="0.3">
      <c r="A383" s="16" t="s">
        <v>412</v>
      </c>
      <c r="B383" s="3">
        <v>46088</v>
      </c>
      <c r="C383" s="2" t="s">
        <v>40</v>
      </c>
      <c r="D383" s="2" t="s">
        <v>24</v>
      </c>
      <c r="E383" s="2" t="s">
        <v>16</v>
      </c>
      <c r="F383" s="2" t="s">
        <v>21</v>
      </c>
      <c r="G383" s="2">
        <v>62</v>
      </c>
      <c r="H383" s="4">
        <v>5</v>
      </c>
      <c r="I383" s="4">
        <v>310</v>
      </c>
      <c r="J383" s="2">
        <v>70</v>
      </c>
      <c r="K383" s="2">
        <v>5</v>
      </c>
      <c r="L383" s="2">
        <v>18</v>
      </c>
      <c r="M383" s="17" t="s">
        <v>22</v>
      </c>
    </row>
    <row r="384" spans="1:13" x14ac:dyDescent="0.3">
      <c r="A384" s="16" t="s">
        <v>413</v>
      </c>
      <c r="B384" s="3">
        <v>46183</v>
      </c>
      <c r="C384" s="2" t="s">
        <v>8</v>
      </c>
      <c r="D384" s="2" t="s">
        <v>19</v>
      </c>
      <c r="E384" s="2" t="s">
        <v>42</v>
      </c>
      <c r="F384" s="2" t="s">
        <v>25</v>
      </c>
      <c r="G384" s="2">
        <v>39</v>
      </c>
      <c r="H384" s="4">
        <v>100</v>
      </c>
      <c r="I384" s="4">
        <v>3900</v>
      </c>
      <c r="J384" s="2">
        <v>80</v>
      </c>
      <c r="K384" s="2">
        <v>2</v>
      </c>
      <c r="L384" s="2">
        <v>3</v>
      </c>
      <c r="M384" s="17" t="s">
        <v>22</v>
      </c>
    </row>
    <row r="385" spans="1:13" x14ac:dyDescent="0.3">
      <c r="A385" s="16" t="s">
        <v>414</v>
      </c>
      <c r="B385" s="3">
        <v>46089</v>
      </c>
      <c r="C385" s="2" t="s">
        <v>8</v>
      </c>
      <c r="D385" s="2" t="s">
        <v>24</v>
      </c>
      <c r="E385" s="2" t="s">
        <v>24</v>
      </c>
      <c r="F385" s="2" t="s">
        <v>17</v>
      </c>
      <c r="G385" s="2">
        <v>91</v>
      </c>
      <c r="H385" s="4">
        <v>5</v>
      </c>
      <c r="I385" s="4">
        <v>455</v>
      </c>
      <c r="J385" s="2">
        <v>98</v>
      </c>
      <c r="K385" s="2">
        <v>3</v>
      </c>
      <c r="L385" s="2">
        <v>13</v>
      </c>
      <c r="M385" s="17" t="s">
        <v>22</v>
      </c>
    </row>
    <row r="386" spans="1:13" x14ac:dyDescent="0.3">
      <c r="A386" s="16" t="s">
        <v>415</v>
      </c>
      <c r="B386" s="3">
        <v>46047</v>
      </c>
      <c r="C386" s="2" t="s">
        <v>35</v>
      </c>
      <c r="D386" s="2" t="s">
        <v>9</v>
      </c>
      <c r="E386" s="2" t="s">
        <v>42</v>
      </c>
      <c r="F386" s="2" t="s">
        <v>25</v>
      </c>
      <c r="G386" s="2">
        <v>44</v>
      </c>
      <c r="H386" s="4">
        <v>100</v>
      </c>
      <c r="I386" s="4">
        <v>4400</v>
      </c>
      <c r="J386" s="2">
        <v>70</v>
      </c>
      <c r="K386" s="2">
        <v>2</v>
      </c>
      <c r="L386" s="2">
        <v>18</v>
      </c>
      <c r="M386" s="17" t="s">
        <v>22</v>
      </c>
    </row>
    <row r="387" spans="1:13" x14ac:dyDescent="0.3">
      <c r="A387" s="16" t="s">
        <v>416</v>
      </c>
      <c r="B387" s="3">
        <v>46025</v>
      </c>
      <c r="C387" s="2" t="s">
        <v>40</v>
      </c>
      <c r="D387" s="2" t="s">
        <v>19</v>
      </c>
      <c r="E387" s="2" t="s">
        <v>24</v>
      </c>
      <c r="F387" s="2" t="s">
        <v>21</v>
      </c>
      <c r="G387" s="2">
        <v>6</v>
      </c>
      <c r="H387" s="4">
        <v>50</v>
      </c>
      <c r="I387" s="4">
        <v>300</v>
      </c>
      <c r="J387" s="2">
        <v>85</v>
      </c>
      <c r="K387" s="2">
        <v>5</v>
      </c>
      <c r="L387" s="2">
        <v>7</v>
      </c>
      <c r="M387" s="17" t="s">
        <v>22</v>
      </c>
    </row>
    <row r="388" spans="1:13" x14ac:dyDescent="0.3">
      <c r="A388" s="16" t="s">
        <v>417</v>
      </c>
      <c r="B388" s="3">
        <v>46176</v>
      </c>
      <c r="C388" s="2" t="s">
        <v>40</v>
      </c>
      <c r="D388" s="2" t="s">
        <v>24</v>
      </c>
      <c r="E388" s="2" t="s">
        <v>20</v>
      </c>
      <c r="F388" s="2" t="s">
        <v>17</v>
      </c>
      <c r="G388" s="2">
        <v>70</v>
      </c>
      <c r="H388" s="4">
        <v>20</v>
      </c>
      <c r="I388" s="4">
        <v>1400</v>
      </c>
      <c r="J388" s="2">
        <v>86</v>
      </c>
      <c r="K388" s="2">
        <v>3</v>
      </c>
      <c r="L388" s="2">
        <v>7</v>
      </c>
      <c r="M388" s="17" t="s">
        <v>22</v>
      </c>
    </row>
    <row r="389" spans="1:13" x14ac:dyDescent="0.3">
      <c r="A389" s="16" t="s">
        <v>418</v>
      </c>
      <c r="B389" s="3">
        <v>46037</v>
      </c>
      <c r="C389" s="2" t="s">
        <v>27</v>
      </c>
      <c r="D389" s="2" t="s">
        <v>28</v>
      </c>
      <c r="E389" s="2" t="s">
        <v>10</v>
      </c>
      <c r="F389" s="2" t="s">
        <v>11</v>
      </c>
      <c r="G389" s="2">
        <v>53</v>
      </c>
      <c r="H389" s="4">
        <v>100</v>
      </c>
      <c r="I389" s="4">
        <v>5300</v>
      </c>
      <c r="J389" s="2">
        <v>94</v>
      </c>
      <c r="K389" s="2">
        <v>3</v>
      </c>
      <c r="L389" s="2">
        <v>3</v>
      </c>
      <c r="M389" s="17" t="s">
        <v>22</v>
      </c>
    </row>
    <row r="390" spans="1:13" x14ac:dyDescent="0.3">
      <c r="A390" s="16" t="s">
        <v>419</v>
      </c>
      <c r="B390" s="3">
        <v>46077</v>
      </c>
      <c r="C390" s="2" t="s">
        <v>35</v>
      </c>
      <c r="D390" s="2" t="s">
        <v>24</v>
      </c>
      <c r="E390" s="2" t="s">
        <v>42</v>
      </c>
      <c r="F390" s="2" t="s">
        <v>21</v>
      </c>
      <c r="G390" s="2">
        <v>98</v>
      </c>
      <c r="H390" s="4">
        <v>100</v>
      </c>
      <c r="I390" s="4">
        <v>9800</v>
      </c>
      <c r="J390" s="2">
        <v>73</v>
      </c>
      <c r="K390" s="2">
        <v>3</v>
      </c>
      <c r="L390" s="2">
        <v>11</v>
      </c>
      <c r="M390" s="17" t="s">
        <v>22</v>
      </c>
    </row>
    <row r="391" spans="1:13" x14ac:dyDescent="0.3">
      <c r="A391" s="16" t="s">
        <v>420</v>
      </c>
      <c r="B391" s="3">
        <v>46024</v>
      </c>
      <c r="C391" s="2" t="s">
        <v>27</v>
      </c>
      <c r="D391" s="2" t="s">
        <v>19</v>
      </c>
      <c r="E391" s="2" t="s">
        <v>10</v>
      </c>
      <c r="F391" s="2" t="s">
        <v>17</v>
      </c>
      <c r="G391" s="2">
        <v>5</v>
      </c>
      <c r="H391" s="4">
        <v>250</v>
      </c>
      <c r="I391" s="4">
        <v>1250</v>
      </c>
      <c r="J391" s="2">
        <v>100</v>
      </c>
      <c r="K391" s="2">
        <v>4</v>
      </c>
      <c r="L391" s="2">
        <v>17</v>
      </c>
      <c r="M391" s="17" t="s">
        <v>22</v>
      </c>
    </row>
    <row r="392" spans="1:13" x14ac:dyDescent="0.3">
      <c r="A392" s="16" t="s">
        <v>421</v>
      </c>
      <c r="B392" s="3">
        <v>46083</v>
      </c>
      <c r="C392" s="2" t="s">
        <v>35</v>
      </c>
      <c r="D392" s="2" t="s">
        <v>28</v>
      </c>
      <c r="E392" s="2" t="s">
        <v>42</v>
      </c>
      <c r="F392" s="2" t="s">
        <v>17</v>
      </c>
      <c r="G392" s="2">
        <v>84</v>
      </c>
      <c r="H392" s="4">
        <v>10</v>
      </c>
      <c r="I392" s="4">
        <v>840</v>
      </c>
      <c r="J392" s="2">
        <v>85</v>
      </c>
      <c r="K392" s="2">
        <v>5</v>
      </c>
      <c r="L392" s="2">
        <v>7</v>
      </c>
      <c r="M392" s="17" t="s">
        <v>22</v>
      </c>
    </row>
    <row r="393" spans="1:13" x14ac:dyDescent="0.3">
      <c r="A393" s="16" t="s">
        <v>422</v>
      </c>
      <c r="B393" s="3">
        <v>46028</v>
      </c>
      <c r="C393" s="2" t="s">
        <v>8</v>
      </c>
      <c r="D393" s="2" t="s">
        <v>24</v>
      </c>
      <c r="E393" s="2" t="s">
        <v>24</v>
      </c>
      <c r="F393" s="2" t="s">
        <v>21</v>
      </c>
      <c r="G393" s="2">
        <v>75</v>
      </c>
      <c r="H393" s="4">
        <v>100</v>
      </c>
      <c r="I393" s="4">
        <v>7500</v>
      </c>
      <c r="J393" s="2">
        <v>90</v>
      </c>
      <c r="K393" s="2">
        <v>4</v>
      </c>
      <c r="L393" s="2">
        <v>12</v>
      </c>
      <c r="M393" s="17" t="s">
        <v>22</v>
      </c>
    </row>
    <row r="394" spans="1:13" x14ac:dyDescent="0.3">
      <c r="A394" s="16" t="s">
        <v>423</v>
      </c>
      <c r="B394" s="3">
        <v>46151</v>
      </c>
      <c r="C394" s="2" t="s">
        <v>30</v>
      </c>
      <c r="D394" s="2" t="s">
        <v>9</v>
      </c>
      <c r="E394" s="2" t="s">
        <v>10</v>
      </c>
      <c r="F394" s="2" t="s">
        <v>25</v>
      </c>
      <c r="G394" s="2">
        <v>64</v>
      </c>
      <c r="H394" s="4">
        <v>250</v>
      </c>
      <c r="I394" s="4">
        <v>16000</v>
      </c>
      <c r="J394" s="2">
        <v>97</v>
      </c>
      <c r="K394" s="2">
        <v>5</v>
      </c>
      <c r="L394" s="2">
        <v>18</v>
      </c>
      <c r="M394" s="17" t="s">
        <v>22</v>
      </c>
    </row>
    <row r="395" spans="1:13" x14ac:dyDescent="0.3">
      <c r="A395" s="16" t="s">
        <v>424</v>
      </c>
      <c r="B395" s="3">
        <v>46069</v>
      </c>
      <c r="C395" s="2" t="s">
        <v>8</v>
      </c>
      <c r="D395" s="2" t="s">
        <v>19</v>
      </c>
      <c r="E395" s="2" t="s">
        <v>10</v>
      </c>
      <c r="F395" s="2" t="s">
        <v>17</v>
      </c>
      <c r="G395" s="2">
        <v>24</v>
      </c>
      <c r="H395" s="4">
        <v>100</v>
      </c>
      <c r="I395" s="4">
        <v>2400</v>
      </c>
      <c r="J395" s="2">
        <v>73</v>
      </c>
      <c r="K395" s="2">
        <v>3</v>
      </c>
      <c r="L395" s="2">
        <v>5</v>
      </c>
      <c r="M395" s="17" t="s">
        <v>22</v>
      </c>
    </row>
    <row r="396" spans="1:13" x14ac:dyDescent="0.3">
      <c r="A396" s="16" t="s">
        <v>425</v>
      </c>
      <c r="B396" s="3">
        <v>46155</v>
      </c>
      <c r="C396" s="2" t="s">
        <v>27</v>
      </c>
      <c r="D396" s="2" t="s">
        <v>9</v>
      </c>
      <c r="E396" s="2" t="s">
        <v>10</v>
      </c>
      <c r="F396" s="2" t="s">
        <v>31</v>
      </c>
      <c r="G396" s="2">
        <v>67</v>
      </c>
      <c r="H396" s="4">
        <v>100</v>
      </c>
      <c r="I396" s="4">
        <v>6700</v>
      </c>
      <c r="J396" s="2">
        <v>78</v>
      </c>
      <c r="K396" s="2">
        <v>4</v>
      </c>
      <c r="L396" s="2">
        <v>10</v>
      </c>
      <c r="M396" s="17" t="s">
        <v>22</v>
      </c>
    </row>
    <row r="397" spans="1:13" x14ac:dyDescent="0.3">
      <c r="A397" s="16" t="s">
        <v>426</v>
      </c>
      <c r="B397" s="3">
        <v>46057</v>
      </c>
      <c r="C397" s="2" t="s">
        <v>30</v>
      </c>
      <c r="D397" s="2" t="s">
        <v>9</v>
      </c>
      <c r="E397" s="2" t="s">
        <v>42</v>
      </c>
      <c r="F397" s="2" t="s">
        <v>21</v>
      </c>
      <c r="G397" s="2">
        <v>61</v>
      </c>
      <c r="H397" s="4">
        <v>5</v>
      </c>
      <c r="I397" s="4">
        <v>305</v>
      </c>
      <c r="J397" s="2">
        <v>88</v>
      </c>
      <c r="K397" s="2">
        <v>3</v>
      </c>
      <c r="L397" s="2">
        <v>19</v>
      </c>
      <c r="M397" s="17" t="s">
        <v>32</v>
      </c>
    </row>
    <row r="398" spans="1:13" x14ac:dyDescent="0.3">
      <c r="A398" s="16" t="s">
        <v>427</v>
      </c>
      <c r="B398" s="3">
        <v>46062</v>
      </c>
      <c r="C398" s="2" t="s">
        <v>14</v>
      </c>
      <c r="D398" s="2" t="s">
        <v>15</v>
      </c>
      <c r="E398" s="2" t="s">
        <v>20</v>
      </c>
      <c r="F398" s="2" t="s">
        <v>31</v>
      </c>
      <c r="G398" s="2">
        <v>26</v>
      </c>
      <c r="H398" s="4">
        <v>50</v>
      </c>
      <c r="I398" s="4">
        <v>1300</v>
      </c>
      <c r="J398" s="2">
        <v>97</v>
      </c>
      <c r="K398" s="2">
        <v>4</v>
      </c>
      <c r="L398" s="2">
        <v>12</v>
      </c>
      <c r="M398" s="17" t="s">
        <v>22</v>
      </c>
    </row>
    <row r="399" spans="1:13" x14ac:dyDescent="0.3">
      <c r="A399" s="16" t="s">
        <v>428</v>
      </c>
      <c r="B399" s="3">
        <v>46146</v>
      </c>
      <c r="C399" s="2" t="s">
        <v>35</v>
      </c>
      <c r="D399" s="2" t="s">
        <v>19</v>
      </c>
      <c r="E399" s="2" t="s">
        <v>10</v>
      </c>
      <c r="F399" s="2" t="s">
        <v>31</v>
      </c>
      <c r="G399" s="2">
        <v>74</v>
      </c>
      <c r="H399" s="4">
        <v>5</v>
      </c>
      <c r="I399" s="4">
        <v>370</v>
      </c>
      <c r="J399" s="2">
        <v>82</v>
      </c>
      <c r="K399" s="2">
        <v>4</v>
      </c>
      <c r="L399" s="2">
        <v>5</v>
      </c>
      <c r="M399" s="17" t="s">
        <v>22</v>
      </c>
    </row>
    <row r="400" spans="1:13" x14ac:dyDescent="0.3">
      <c r="A400" s="16" t="s">
        <v>429</v>
      </c>
      <c r="B400" s="3">
        <v>46170</v>
      </c>
      <c r="C400" s="2" t="s">
        <v>14</v>
      </c>
      <c r="D400" s="2" t="s">
        <v>28</v>
      </c>
      <c r="E400" s="2" t="s">
        <v>16</v>
      </c>
      <c r="F400" s="2" t="s">
        <v>17</v>
      </c>
      <c r="G400" s="2">
        <v>9</v>
      </c>
      <c r="H400" s="4">
        <v>10</v>
      </c>
      <c r="I400" s="4">
        <v>90</v>
      </c>
      <c r="J400" s="2">
        <v>95</v>
      </c>
      <c r="K400" s="2">
        <v>3</v>
      </c>
      <c r="L400" s="2">
        <v>6</v>
      </c>
      <c r="M400" s="17" t="s">
        <v>32</v>
      </c>
    </row>
    <row r="401" spans="1:13" x14ac:dyDescent="0.3">
      <c r="A401" s="16" t="s">
        <v>430</v>
      </c>
      <c r="B401" s="3">
        <v>46057</v>
      </c>
      <c r="C401" s="2" t="s">
        <v>30</v>
      </c>
      <c r="D401" s="2" t="s">
        <v>19</v>
      </c>
      <c r="E401" s="2" t="s">
        <v>42</v>
      </c>
      <c r="F401" s="2" t="s">
        <v>21</v>
      </c>
      <c r="G401" s="2">
        <v>69</v>
      </c>
      <c r="H401" s="4">
        <v>100</v>
      </c>
      <c r="I401" s="4">
        <v>6900</v>
      </c>
      <c r="J401" s="2">
        <v>98</v>
      </c>
      <c r="K401" s="2">
        <v>3</v>
      </c>
      <c r="L401" s="2">
        <v>11</v>
      </c>
      <c r="M401" s="17" t="s">
        <v>12</v>
      </c>
    </row>
    <row r="402" spans="1:13" x14ac:dyDescent="0.3">
      <c r="A402" s="16" t="s">
        <v>431</v>
      </c>
      <c r="B402" s="3">
        <v>46192</v>
      </c>
      <c r="C402" s="2" t="s">
        <v>30</v>
      </c>
      <c r="D402" s="2" t="s">
        <v>9</v>
      </c>
      <c r="E402" s="2" t="s">
        <v>20</v>
      </c>
      <c r="F402" s="2" t="s">
        <v>21</v>
      </c>
      <c r="G402" s="2">
        <v>19</v>
      </c>
      <c r="H402" s="4">
        <v>50</v>
      </c>
      <c r="I402" s="4">
        <v>950</v>
      </c>
      <c r="J402" s="2">
        <v>87</v>
      </c>
      <c r="K402" s="2">
        <v>5</v>
      </c>
      <c r="L402" s="2">
        <v>10</v>
      </c>
      <c r="M402" s="17" t="s">
        <v>22</v>
      </c>
    </row>
    <row r="403" spans="1:13" x14ac:dyDescent="0.3">
      <c r="A403" s="16" t="s">
        <v>432</v>
      </c>
      <c r="B403" s="3">
        <v>46102</v>
      </c>
      <c r="C403" s="2" t="s">
        <v>27</v>
      </c>
      <c r="D403" s="2" t="s">
        <v>15</v>
      </c>
      <c r="E403" s="2" t="s">
        <v>20</v>
      </c>
      <c r="F403" s="2" t="s">
        <v>25</v>
      </c>
      <c r="G403" s="2">
        <v>93</v>
      </c>
      <c r="H403" s="4">
        <v>5</v>
      </c>
      <c r="I403" s="4">
        <v>465</v>
      </c>
      <c r="J403" s="2">
        <v>70</v>
      </c>
      <c r="K403" s="2">
        <v>2</v>
      </c>
      <c r="L403" s="2">
        <v>20</v>
      </c>
      <c r="M403" s="17" t="s">
        <v>32</v>
      </c>
    </row>
    <row r="404" spans="1:13" x14ac:dyDescent="0.3">
      <c r="A404" s="16" t="s">
        <v>433</v>
      </c>
      <c r="B404" s="3">
        <v>46064</v>
      </c>
      <c r="C404" s="2" t="s">
        <v>14</v>
      </c>
      <c r="D404" s="2" t="s">
        <v>19</v>
      </c>
      <c r="E404" s="2" t="s">
        <v>10</v>
      </c>
      <c r="F404" s="2" t="s">
        <v>25</v>
      </c>
      <c r="G404" s="2">
        <v>98</v>
      </c>
      <c r="H404" s="4">
        <v>250</v>
      </c>
      <c r="I404" s="4">
        <v>24500</v>
      </c>
      <c r="J404" s="2">
        <v>82</v>
      </c>
      <c r="K404" s="2">
        <v>2</v>
      </c>
      <c r="L404" s="2">
        <v>15</v>
      </c>
      <c r="M404" s="17" t="s">
        <v>22</v>
      </c>
    </row>
    <row r="405" spans="1:13" x14ac:dyDescent="0.3">
      <c r="A405" s="16" t="s">
        <v>434</v>
      </c>
      <c r="B405" s="3">
        <v>46149</v>
      </c>
      <c r="C405" s="2" t="s">
        <v>35</v>
      </c>
      <c r="D405" s="2" t="s">
        <v>19</v>
      </c>
      <c r="E405" s="2" t="s">
        <v>24</v>
      </c>
      <c r="F405" s="2" t="s">
        <v>21</v>
      </c>
      <c r="G405" s="2">
        <v>7</v>
      </c>
      <c r="H405" s="4">
        <v>5</v>
      </c>
      <c r="I405" s="4">
        <v>35</v>
      </c>
      <c r="J405" s="2">
        <v>82</v>
      </c>
      <c r="K405" s="2">
        <v>4</v>
      </c>
      <c r="L405" s="2">
        <v>16</v>
      </c>
      <c r="M405" s="17" t="s">
        <v>22</v>
      </c>
    </row>
    <row r="406" spans="1:13" x14ac:dyDescent="0.3">
      <c r="A406" s="16" t="s">
        <v>435</v>
      </c>
      <c r="B406" s="3">
        <v>46189</v>
      </c>
      <c r="C406" s="2" t="s">
        <v>14</v>
      </c>
      <c r="D406" s="2" t="s">
        <v>24</v>
      </c>
      <c r="E406" s="2" t="s">
        <v>10</v>
      </c>
      <c r="F406" s="2" t="s">
        <v>31</v>
      </c>
      <c r="G406" s="2">
        <v>84</v>
      </c>
      <c r="H406" s="4">
        <v>5</v>
      </c>
      <c r="I406" s="4">
        <v>420</v>
      </c>
      <c r="J406" s="2">
        <v>80</v>
      </c>
      <c r="K406" s="2">
        <v>2</v>
      </c>
      <c r="L406" s="2">
        <v>9</v>
      </c>
      <c r="M406" s="17" t="s">
        <v>32</v>
      </c>
    </row>
    <row r="407" spans="1:13" x14ac:dyDescent="0.3">
      <c r="A407" s="16" t="s">
        <v>436</v>
      </c>
      <c r="B407" s="3">
        <v>46042</v>
      </c>
      <c r="C407" s="2" t="s">
        <v>14</v>
      </c>
      <c r="D407" s="2" t="s">
        <v>28</v>
      </c>
      <c r="E407" s="2" t="s">
        <v>16</v>
      </c>
      <c r="F407" s="2" t="s">
        <v>25</v>
      </c>
      <c r="G407" s="2">
        <v>78</v>
      </c>
      <c r="H407" s="4">
        <v>10</v>
      </c>
      <c r="I407" s="4">
        <v>780</v>
      </c>
      <c r="J407" s="2">
        <v>82</v>
      </c>
      <c r="K407" s="2">
        <v>5</v>
      </c>
      <c r="L407" s="2">
        <v>8</v>
      </c>
      <c r="M407" s="17" t="s">
        <v>22</v>
      </c>
    </row>
    <row r="408" spans="1:13" x14ac:dyDescent="0.3">
      <c r="A408" s="16" t="s">
        <v>437</v>
      </c>
      <c r="B408" s="3">
        <v>46182</v>
      </c>
      <c r="C408" s="2" t="s">
        <v>8</v>
      </c>
      <c r="D408" s="2" t="s">
        <v>24</v>
      </c>
      <c r="E408" s="2" t="s">
        <v>10</v>
      </c>
      <c r="F408" s="2" t="s">
        <v>25</v>
      </c>
      <c r="G408" s="2">
        <v>58</v>
      </c>
      <c r="H408" s="4">
        <v>100</v>
      </c>
      <c r="I408" s="4">
        <v>5800</v>
      </c>
      <c r="J408" s="2">
        <v>84</v>
      </c>
      <c r="K408" s="2">
        <v>5</v>
      </c>
      <c r="L408" s="2">
        <v>17</v>
      </c>
      <c r="M408" s="17" t="s">
        <v>22</v>
      </c>
    </row>
    <row r="409" spans="1:13" x14ac:dyDescent="0.3">
      <c r="A409" s="16" t="s">
        <v>438</v>
      </c>
      <c r="B409" s="3">
        <v>46125</v>
      </c>
      <c r="C409" s="2" t="s">
        <v>14</v>
      </c>
      <c r="D409" s="2" t="s">
        <v>19</v>
      </c>
      <c r="E409" s="2" t="s">
        <v>16</v>
      </c>
      <c r="F409" s="2" t="s">
        <v>25</v>
      </c>
      <c r="G409" s="2">
        <v>67</v>
      </c>
      <c r="H409" s="4">
        <v>50</v>
      </c>
      <c r="I409" s="4">
        <v>3350</v>
      </c>
      <c r="J409" s="2">
        <v>85</v>
      </c>
      <c r="K409" s="2">
        <v>3</v>
      </c>
      <c r="L409" s="2">
        <v>20</v>
      </c>
      <c r="M409" s="17" t="s">
        <v>32</v>
      </c>
    </row>
    <row r="410" spans="1:13" x14ac:dyDescent="0.3">
      <c r="A410" s="16" t="s">
        <v>439</v>
      </c>
      <c r="B410" s="3">
        <v>46148</v>
      </c>
      <c r="C410" s="2" t="s">
        <v>8</v>
      </c>
      <c r="D410" s="2" t="s">
        <v>28</v>
      </c>
      <c r="E410" s="2" t="s">
        <v>20</v>
      </c>
      <c r="F410" s="2" t="s">
        <v>25</v>
      </c>
      <c r="G410" s="2">
        <v>83</v>
      </c>
      <c r="H410" s="4">
        <v>100</v>
      </c>
      <c r="I410" s="4">
        <v>8300</v>
      </c>
      <c r="J410" s="2">
        <v>86</v>
      </c>
      <c r="K410" s="2">
        <v>4</v>
      </c>
      <c r="L410" s="2">
        <v>19</v>
      </c>
      <c r="M410" s="17" t="s">
        <v>22</v>
      </c>
    </row>
    <row r="411" spans="1:13" x14ac:dyDescent="0.3">
      <c r="A411" s="16" t="s">
        <v>440</v>
      </c>
      <c r="B411" s="3">
        <v>46073</v>
      </c>
      <c r="C411" s="2" t="s">
        <v>30</v>
      </c>
      <c r="D411" s="2" t="s">
        <v>28</v>
      </c>
      <c r="E411" s="2" t="s">
        <v>20</v>
      </c>
      <c r="F411" s="2" t="s">
        <v>11</v>
      </c>
      <c r="G411" s="2">
        <v>100</v>
      </c>
      <c r="H411" s="4">
        <v>50</v>
      </c>
      <c r="I411" s="4">
        <v>5000</v>
      </c>
      <c r="J411" s="2">
        <v>80</v>
      </c>
      <c r="K411" s="2">
        <v>3</v>
      </c>
      <c r="L411" s="2">
        <v>5</v>
      </c>
      <c r="M411" s="17" t="s">
        <v>22</v>
      </c>
    </row>
    <row r="412" spans="1:13" x14ac:dyDescent="0.3">
      <c r="A412" s="16" t="s">
        <v>441</v>
      </c>
      <c r="B412" s="3">
        <v>46099</v>
      </c>
      <c r="C412" s="2" t="s">
        <v>30</v>
      </c>
      <c r="D412" s="2" t="s">
        <v>28</v>
      </c>
      <c r="E412" s="2" t="s">
        <v>42</v>
      </c>
      <c r="F412" s="2" t="s">
        <v>11</v>
      </c>
      <c r="G412" s="2">
        <v>59</v>
      </c>
      <c r="H412" s="4">
        <v>5</v>
      </c>
      <c r="I412" s="4">
        <v>295</v>
      </c>
      <c r="J412" s="2">
        <v>70</v>
      </c>
      <c r="K412" s="2">
        <v>3</v>
      </c>
      <c r="L412" s="2">
        <v>20</v>
      </c>
      <c r="M412" s="17" t="s">
        <v>32</v>
      </c>
    </row>
    <row r="413" spans="1:13" x14ac:dyDescent="0.3">
      <c r="A413" s="16" t="s">
        <v>442</v>
      </c>
      <c r="B413" s="3">
        <v>46067</v>
      </c>
      <c r="C413" s="2" t="s">
        <v>27</v>
      </c>
      <c r="D413" s="2" t="s">
        <v>19</v>
      </c>
      <c r="E413" s="2" t="s">
        <v>10</v>
      </c>
      <c r="F413" s="2" t="s">
        <v>11</v>
      </c>
      <c r="G413" s="2">
        <v>70</v>
      </c>
      <c r="H413" s="4">
        <v>20</v>
      </c>
      <c r="I413" s="4">
        <v>1400</v>
      </c>
      <c r="J413" s="2">
        <v>100</v>
      </c>
      <c r="K413" s="2">
        <v>3</v>
      </c>
      <c r="L413" s="2">
        <v>15</v>
      </c>
      <c r="M413" s="17" t="s">
        <v>22</v>
      </c>
    </row>
    <row r="414" spans="1:13" x14ac:dyDescent="0.3">
      <c r="A414" s="16" t="s">
        <v>443</v>
      </c>
      <c r="B414" s="3">
        <v>46139</v>
      </c>
      <c r="C414" s="2" t="s">
        <v>8</v>
      </c>
      <c r="D414" s="2" t="s">
        <v>24</v>
      </c>
      <c r="E414" s="2" t="s">
        <v>24</v>
      </c>
      <c r="F414" s="2" t="s">
        <v>25</v>
      </c>
      <c r="G414" s="2">
        <v>75</v>
      </c>
      <c r="H414" s="4">
        <v>50</v>
      </c>
      <c r="I414" s="4">
        <v>3750</v>
      </c>
      <c r="J414" s="2">
        <v>71</v>
      </c>
      <c r="K414" s="2">
        <v>2</v>
      </c>
      <c r="L414" s="2">
        <v>3</v>
      </c>
      <c r="M414" s="17" t="s">
        <v>22</v>
      </c>
    </row>
    <row r="415" spans="1:13" x14ac:dyDescent="0.3">
      <c r="A415" s="16" t="s">
        <v>444</v>
      </c>
      <c r="B415" s="3">
        <v>46102</v>
      </c>
      <c r="C415" s="2" t="s">
        <v>30</v>
      </c>
      <c r="D415" s="2" t="s">
        <v>9</v>
      </c>
      <c r="E415" s="2" t="s">
        <v>42</v>
      </c>
      <c r="F415" s="2" t="s">
        <v>25</v>
      </c>
      <c r="G415" s="2">
        <v>20</v>
      </c>
      <c r="H415" s="4">
        <v>10</v>
      </c>
      <c r="I415" s="4">
        <v>200</v>
      </c>
      <c r="J415" s="2">
        <v>85</v>
      </c>
      <c r="K415" s="2">
        <v>5</v>
      </c>
      <c r="L415" s="2">
        <v>11</v>
      </c>
      <c r="M415" s="17" t="s">
        <v>22</v>
      </c>
    </row>
    <row r="416" spans="1:13" x14ac:dyDescent="0.3">
      <c r="A416" s="16" t="s">
        <v>445</v>
      </c>
      <c r="B416" s="3">
        <v>46095</v>
      </c>
      <c r="C416" s="2" t="s">
        <v>35</v>
      </c>
      <c r="D416" s="2" t="s">
        <v>15</v>
      </c>
      <c r="E416" s="2" t="s">
        <v>16</v>
      </c>
      <c r="F416" s="2" t="s">
        <v>17</v>
      </c>
      <c r="G416" s="2">
        <v>63</v>
      </c>
      <c r="H416" s="4">
        <v>100</v>
      </c>
      <c r="I416" s="4">
        <v>6300</v>
      </c>
      <c r="J416" s="2">
        <v>94</v>
      </c>
      <c r="K416" s="2">
        <v>5</v>
      </c>
      <c r="L416" s="2">
        <v>5</v>
      </c>
      <c r="M416" s="17" t="s">
        <v>22</v>
      </c>
    </row>
    <row r="417" spans="1:13" x14ac:dyDescent="0.3">
      <c r="A417" s="16" t="s">
        <v>446</v>
      </c>
      <c r="B417" s="3">
        <v>46124</v>
      </c>
      <c r="C417" s="2" t="s">
        <v>8</v>
      </c>
      <c r="D417" s="2" t="s">
        <v>19</v>
      </c>
      <c r="E417" s="2" t="s">
        <v>10</v>
      </c>
      <c r="F417" s="2" t="s">
        <v>21</v>
      </c>
      <c r="G417" s="2">
        <v>33</v>
      </c>
      <c r="H417" s="4">
        <v>5</v>
      </c>
      <c r="I417" s="4">
        <v>165</v>
      </c>
      <c r="J417" s="2">
        <v>76</v>
      </c>
      <c r="K417" s="2">
        <v>2</v>
      </c>
      <c r="L417" s="2">
        <v>11</v>
      </c>
      <c r="M417" s="17" t="s">
        <v>22</v>
      </c>
    </row>
    <row r="418" spans="1:13" x14ac:dyDescent="0.3">
      <c r="A418" s="16" t="s">
        <v>447</v>
      </c>
      <c r="B418" s="3">
        <v>46144</v>
      </c>
      <c r="C418" s="2" t="s">
        <v>14</v>
      </c>
      <c r="D418" s="2" t="s">
        <v>24</v>
      </c>
      <c r="E418" s="2" t="s">
        <v>42</v>
      </c>
      <c r="F418" s="2" t="s">
        <v>11</v>
      </c>
      <c r="G418" s="2">
        <v>71</v>
      </c>
      <c r="H418" s="4">
        <v>5</v>
      </c>
      <c r="I418" s="4">
        <v>355</v>
      </c>
      <c r="J418" s="2">
        <v>71</v>
      </c>
      <c r="K418" s="2">
        <v>2</v>
      </c>
      <c r="L418" s="2">
        <v>13</v>
      </c>
      <c r="M418" s="17" t="s">
        <v>22</v>
      </c>
    </row>
    <row r="419" spans="1:13" x14ac:dyDescent="0.3">
      <c r="A419" s="16" t="s">
        <v>448</v>
      </c>
      <c r="B419" s="3">
        <v>46071</v>
      </c>
      <c r="C419" s="2" t="s">
        <v>30</v>
      </c>
      <c r="D419" s="2" t="s">
        <v>9</v>
      </c>
      <c r="E419" s="2" t="s">
        <v>24</v>
      </c>
      <c r="F419" s="2" t="s">
        <v>25</v>
      </c>
      <c r="G419" s="2">
        <v>78</v>
      </c>
      <c r="H419" s="4">
        <v>100</v>
      </c>
      <c r="I419" s="4">
        <v>7800</v>
      </c>
      <c r="J419" s="2">
        <v>82</v>
      </c>
      <c r="K419" s="2">
        <v>4</v>
      </c>
      <c r="L419" s="2">
        <v>8</v>
      </c>
      <c r="M419" s="17" t="s">
        <v>22</v>
      </c>
    </row>
    <row r="420" spans="1:13" x14ac:dyDescent="0.3">
      <c r="A420" s="16" t="s">
        <v>449</v>
      </c>
      <c r="B420" s="3">
        <v>46047</v>
      </c>
      <c r="C420" s="2" t="s">
        <v>14</v>
      </c>
      <c r="D420" s="2" t="s">
        <v>19</v>
      </c>
      <c r="E420" s="2" t="s">
        <v>10</v>
      </c>
      <c r="F420" s="2" t="s">
        <v>11</v>
      </c>
      <c r="G420" s="2">
        <v>95</v>
      </c>
      <c r="H420" s="4">
        <v>50</v>
      </c>
      <c r="I420" s="4">
        <v>4750</v>
      </c>
      <c r="J420" s="2">
        <v>81</v>
      </c>
      <c r="K420" s="2">
        <v>3</v>
      </c>
      <c r="L420" s="2">
        <v>11</v>
      </c>
      <c r="M420" s="17" t="s">
        <v>22</v>
      </c>
    </row>
    <row r="421" spans="1:13" x14ac:dyDescent="0.3">
      <c r="A421" s="16" t="s">
        <v>450</v>
      </c>
      <c r="B421" s="3">
        <v>46073</v>
      </c>
      <c r="C421" s="2" t="s">
        <v>8</v>
      </c>
      <c r="D421" s="2" t="s">
        <v>9</v>
      </c>
      <c r="E421" s="2" t="s">
        <v>24</v>
      </c>
      <c r="F421" s="2" t="s">
        <v>25</v>
      </c>
      <c r="G421" s="2">
        <v>30</v>
      </c>
      <c r="H421" s="4">
        <v>50</v>
      </c>
      <c r="I421" s="4">
        <v>1500</v>
      </c>
      <c r="J421" s="2">
        <v>88</v>
      </c>
      <c r="K421" s="2">
        <v>4</v>
      </c>
      <c r="L421" s="2">
        <v>12</v>
      </c>
      <c r="M421" s="17" t="s">
        <v>22</v>
      </c>
    </row>
    <row r="422" spans="1:13" x14ac:dyDescent="0.3">
      <c r="A422" s="16" t="s">
        <v>451</v>
      </c>
      <c r="B422" s="3">
        <v>46032</v>
      </c>
      <c r="C422" s="2" t="s">
        <v>14</v>
      </c>
      <c r="D422" s="2" t="s">
        <v>15</v>
      </c>
      <c r="E422" s="2" t="s">
        <v>16</v>
      </c>
      <c r="F422" s="2" t="s">
        <v>11</v>
      </c>
      <c r="G422" s="2">
        <v>75</v>
      </c>
      <c r="H422" s="4">
        <v>250</v>
      </c>
      <c r="I422" s="4">
        <v>18750</v>
      </c>
      <c r="J422" s="2">
        <v>79</v>
      </c>
      <c r="K422" s="2">
        <v>4</v>
      </c>
      <c r="L422" s="2">
        <v>8</v>
      </c>
      <c r="M422" s="17" t="s">
        <v>22</v>
      </c>
    </row>
    <row r="423" spans="1:13" x14ac:dyDescent="0.3">
      <c r="A423" s="16" t="s">
        <v>452</v>
      </c>
      <c r="B423" s="3">
        <v>46163</v>
      </c>
      <c r="C423" s="2" t="s">
        <v>14</v>
      </c>
      <c r="D423" s="2" t="s">
        <v>28</v>
      </c>
      <c r="E423" s="2" t="s">
        <v>16</v>
      </c>
      <c r="F423" s="2" t="s">
        <v>11</v>
      </c>
      <c r="G423" s="2">
        <v>21</v>
      </c>
      <c r="H423" s="4">
        <v>5</v>
      </c>
      <c r="I423" s="4">
        <v>105</v>
      </c>
      <c r="J423" s="2">
        <v>94</v>
      </c>
      <c r="K423" s="2">
        <v>2</v>
      </c>
      <c r="L423" s="2">
        <v>6</v>
      </c>
      <c r="M423" s="17" t="s">
        <v>22</v>
      </c>
    </row>
    <row r="424" spans="1:13" x14ac:dyDescent="0.3">
      <c r="A424" s="16" t="s">
        <v>453</v>
      </c>
      <c r="B424" s="3">
        <v>46043</v>
      </c>
      <c r="C424" s="2" t="s">
        <v>27</v>
      </c>
      <c r="D424" s="2" t="s">
        <v>19</v>
      </c>
      <c r="E424" s="2" t="s">
        <v>16</v>
      </c>
      <c r="F424" s="2" t="s">
        <v>31</v>
      </c>
      <c r="G424" s="2">
        <v>84</v>
      </c>
      <c r="H424" s="4">
        <v>5</v>
      </c>
      <c r="I424" s="4">
        <v>420</v>
      </c>
      <c r="J424" s="2">
        <v>84</v>
      </c>
      <c r="K424" s="2">
        <v>2</v>
      </c>
      <c r="L424" s="2">
        <v>16</v>
      </c>
      <c r="M424" s="17" t="s">
        <v>32</v>
      </c>
    </row>
    <row r="425" spans="1:13" x14ac:dyDescent="0.3">
      <c r="A425" s="16" t="s">
        <v>454</v>
      </c>
      <c r="B425" s="3">
        <v>46074</v>
      </c>
      <c r="C425" s="2" t="s">
        <v>27</v>
      </c>
      <c r="D425" s="2" t="s">
        <v>19</v>
      </c>
      <c r="E425" s="2" t="s">
        <v>24</v>
      </c>
      <c r="F425" s="2" t="s">
        <v>11</v>
      </c>
      <c r="G425" s="2">
        <v>87</v>
      </c>
      <c r="H425" s="4">
        <v>50</v>
      </c>
      <c r="I425" s="4">
        <v>4350</v>
      </c>
      <c r="J425" s="2">
        <v>87</v>
      </c>
      <c r="K425" s="2">
        <v>3</v>
      </c>
      <c r="L425" s="2">
        <v>6</v>
      </c>
      <c r="M425" s="17" t="s">
        <v>22</v>
      </c>
    </row>
    <row r="426" spans="1:13" x14ac:dyDescent="0.3">
      <c r="A426" s="16" t="s">
        <v>455</v>
      </c>
      <c r="B426" s="3">
        <v>46084</v>
      </c>
      <c r="C426" s="2" t="s">
        <v>40</v>
      </c>
      <c r="D426" s="2" t="s">
        <v>19</v>
      </c>
      <c r="E426" s="2" t="s">
        <v>20</v>
      </c>
      <c r="F426" s="2" t="s">
        <v>31</v>
      </c>
      <c r="G426" s="2">
        <v>49</v>
      </c>
      <c r="H426" s="4">
        <v>20</v>
      </c>
      <c r="I426" s="4">
        <v>980</v>
      </c>
      <c r="J426" s="2">
        <v>76</v>
      </c>
      <c r="K426" s="2">
        <v>2</v>
      </c>
      <c r="L426" s="2">
        <v>8</v>
      </c>
      <c r="M426" s="17" t="s">
        <v>32</v>
      </c>
    </row>
    <row r="427" spans="1:13" x14ac:dyDescent="0.3">
      <c r="A427" s="16" t="s">
        <v>456</v>
      </c>
      <c r="B427" s="3">
        <v>46074</v>
      </c>
      <c r="C427" s="2" t="s">
        <v>8</v>
      </c>
      <c r="D427" s="2" t="s">
        <v>24</v>
      </c>
      <c r="E427" s="2" t="s">
        <v>16</v>
      </c>
      <c r="F427" s="2" t="s">
        <v>21</v>
      </c>
      <c r="G427" s="2">
        <v>76</v>
      </c>
      <c r="H427" s="4">
        <v>100</v>
      </c>
      <c r="I427" s="4">
        <v>7600</v>
      </c>
      <c r="J427" s="2">
        <v>92</v>
      </c>
      <c r="K427" s="2">
        <v>3</v>
      </c>
      <c r="L427" s="2">
        <v>4</v>
      </c>
      <c r="M427" s="17" t="s">
        <v>22</v>
      </c>
    </row>
    <row r="428" spans="1:13" x14ac:dyDescent="0.3">
      <c r="A428" s="16" t="s">
        <v>457</v>
      </c>
      <c r="B428" s="3">
        <v>46169</v>
      </c>
      <c r="C428" s="2" t="s">
        <v>40</v>
      </c>
      <c r="D428" s="2" t="s">
        <v>24</v>
      </c>
      <c r="E428" s="2" t="s">
        <v>42</v>
      </c>
      <c r="F428" s="2" t="s">
        <v>11</v>
      </c>
      <c r="G428" s="2">
        <v>29</v>
      </c>
      <c r="H428" s="4">
        <v>250</v>
      </c>
      <c r="I428" s="4">
        <v>7250</v>
      </c>
      <c r="J428" s="2">
        <v>95</v>
      </c>
      <c r="K428" s="2">
        <v>5</v>
      </c>
      <c r="L428" s="2">
        <v>19</v>
      </c>
      <c r="M428" s="17" t="s">
        <v>22</v>
      </c>
    </row>
    <row r="429" spans="1:13" x14ac:dyDescent="0.3">
      <c r="A429" s="16" t="s">
        <v>458</v>
      </c>
      <c r="B429" s="3">
        <v>46101</v>
      </c>
      <c r="C429" s="2" t="s">
        <v>30</v>
      </c>
      <c r="D429" s="2" t="s">
        <v>9</v>
      </c>
      <c r="E429" s="2" t="s">
        <v>20</v>
      </c>
      <c r="F429" s="2" t="s">
        <v>17</v>
      </c>
      <c r="G429" s="2">
        <v>21</v>
      </c>
      <c r="H429" s="4">
        <v>10</v>
      </c>
      <c r="I429" s="4">
        <v>210</v>
      </c>
      <c r="J429" s="2">
        <v>74</v>
      </c>
      <c r="K429" s="2">
        <v>3</v>
      </c>
      <c r="L429" s="2">
        <v>19</v>
      </c>
      <c r="M429" s="17" t="s">
        <v>22</v>
      </c>
    </row>
    <row r="430" spans="1:13" x14ac:dyDescent="0.3">
      <c r="A430" s="16" t="s">
        <v>459</v>
      </c>
      <c r="B430" s="3">
        <v>46101</v>
      </c>
      <c r="C430" s="2" t="s">
        <v>27</v>
      </c>
      <c r="D430" s="2" t="s">
        <v>19</v>
      </c>
      <c r="E430" s="2" t="s">
        <v>42</v>
      </c>
      <c r="F430" s="2" t="s">
        <v>25</v>
      </c>
      <c r="G430" s="2">
        <v>86</v>
      </c>
      <c r="H430" s="4">
        <v>50</v>
      </c>
      <c r="I430" s="4">
        <v>4300</v>
      </c>
      <c r="J430" s="2">
        <v>82</v>
      </c>
      <c r="K430" s="2">
        <v>3</v>
      </c>
      <c r="L430" s="2">
        <v>10</v>
      </c>
      <c r="M430" s="17" t="s">
        <v>22</v>
      </c>
    </row>
    <row r="431" spans="1:13" x14ac:dyDescent="0.3">
      <c r="A431" s="16" t="s">
        <v>460</v>
      </c>
      <c r="B431" s="3">
        <v>46119</v>
      </c>
      <c r="C431" s="2" t="s">
        <v>30</v>
      </c>
      <c r="D431" s="2" t="s">
        <v>28</v>
      </c>
      <c r="E431" s="2" t="s">
        <v>20</v>
      </c>
      <c r="F431" s="2" t="s">
        <v>11</v>
      </c>
      <c r="G431" s="2">
        <v>38</v>
      </c>
      <c r="H431" s="4">
        <v>50</v>
      </c>
      <c r="I431" s="4">
        <v>1900</v>
      </c>
      <c r="J431" s="2">
        <v>80</v>
      </c>
      <c r="K431" s="2">
        <v>5</v>
      </c>
      <c r="L431" s="2">
        <v>19</v>
      </c>
      <c r="M431" s="17" t="s">
        <v>12</v>
      </c>
    </row>
    <row r="432" spans="1:13" x14ac:dyDescent="0.3">
      <c r="A432" s="16" t="s">
        <v>461</v>
      </c>
      <c r="B432" s="3">
        <v>46145</v>
      </c>
      <c r="C432" s="2" t="s">
        <v>40</v>
      </c>
      <c r="D432" s="2" t="s">
        <v>28</v>
      </c>
      <c r="E432" s="2" t="s">
        <v>24</v>
      </c>
      <c r="F432" s="2" t="s">
        <v>21</v>
      </c>
      <c r="G432" s="2">
        <v>58</v>
      </c>
      <c r="H432" s="4">
        <v>100</v>
      </c>
      <c r="I432" s="4">
        <v>5800</v>
      </c>
      <c r="J432" s="2">
        <v>81</v>
      </c>
      <c r="K432" s="2">
        <v>3</v>
      </c>
      <c r="L432" s="2">
        <v>13</v>
      </c>
      <c r="M432" s="17" t="s">
        <v>22</v>
      </c>
    </row>
    <row r="433" spans="1:13" x14ac:dyDescent="0.3">
      <c r="A433" s="16" t="s">
        <v>462</v>
      </c>
      <c r="B433" s="3">
        <v>46080</v>
      </c>
      <c r="C433" s="2" t="s">
        <v>14</v>
      </c>
      <c r="D433" s="2" t="s">
        <v>9</v>
      </c>
      <c r="E433" s="2" t="s">
        <v>16</v>
      </c>
      <c r="F433" s="2" t="s">
        <v>11</v>
      </c>
      <c r="G433" s="2">
        <v>87</v>
      </c>
      <c r="H433" s="4">
        <v>250</v>
      </c>
      <c r="I433" s="4">
        <v>21750</v>
      </c>
      <c r="J433" s="2">
        <v>77</v>
      </c>
      <c r="K433" s="2">
        <v>4</v>
      </c>
      <c r="L433" s="2">
        <v>20</v>
      </c>
      <c r="M433" s="17" t="s">
        <v>22</v>
      </c>
    </row>
    <row r="434" spans="1:13" x14ac:dyDescent="0.3">
      <c r="A434" s="16" t="s">
        <v>463</v>
      </c>
      <c r="B434" s="3">
        <v>46156</v>
      </c>
      <c r="C434" s="2" t="s">
        <v>40</v>
      </c>
      <c r="D434" s="2" t="s">
        <v>28</v>
      </c>
      <c r="E434" s="2" t="s">
        <v>10</v>
      </c>
      <c r="F434" s="2" t="s">
        <v>11</v>
      </c>
      <c r="G434" s="2">
        <v>3</v>
      </c>
      <c r="H434" s="4">
        <v>100</v>
      </c>
      <c r="I434" s="4">
        <v>300</v>
      </c>
      <c r="J434" s="2">
        <v>70</v>
      </c>
      <c r="K434" s="2">
        <v>2</v>
      </c>
      <c r="L434" s="2">
        <v>14</v>
      </c>
      <c r="M434" s="17" t="s">
        <v>22</v>
      </c>
    </row>
    <row r="435" spans="1:13" x14ac:dyDescent="0.3">
      <c r="A435" s="16" t="s">
        <v>464</v>
      </c>
      <c r="B435" s="3">
        <v>46146</v>
      </c>
      <c r="C435" s="2" t="s">
        <v>35</v>
      </c>
      <c r="D435" s="2" t="s">
        <v>15</v>
      </c>
      <c r="E435" s="2" t="s">
        <v>42</v>
      </c>
      <c r="F435" s="2" t="s">
        <v>21</v>
      </c>
      <c r="G435" s="2">
        <v>63</v>
      </c>
      <c r="H435" s="4">
        <v>50</v>
      </c>
      <c r="I435" s="4">
        <v>3150</v>
      </c>
      <c r="J435" s="2">
        <v>96</v>
      </c>
      <c r="K435" s="2">
        <v>3</v>
      </c>
      <c r="L435" s="2">
        <v>19</v>
      </c>
      <c r="M435" s="17" t="s">
        <v>22</v>
      </c>
    </row>
    <row r="436" spans="1:13" x14ac:dyDescent="0.3">
      <c r="A436" s="16" t="s">
        <v>465</v>
      </c>
      <c r="B436" s="3">
        <v>46041</v>
      </c>
      <c r="C436" s="2" t="s">
        <v>30</v>
      </c>
      <c r="D436" s="2" t="s">
        <v>9</v>
      </c>
      <c r="E436" s="2" t="s">
        <v>24</v>
      </c>
      <c r="F436" s="2" t="s">
        <v>21</v>
      </c>
      <c r="G436" s="2">
        <v>76</v>
      </c>
      <c r="H436" s="4">
        <v>250</v>
      </c>
      <c r="I436" s="4">
        <v>19000</v>
      </c>
      <c r="J436" s="2">
        <v>80</v>
      </c>
      <c r="K436" s="2">
        <v>5</v>
      </c>
      <c r="L436" s="2">
        <v>5</v>
      </c>
      <c r="M436" s="17" t="s">
        <v>22</v>
      </c>
    </row>
    <row r="437" spans="1:13" x14ac:dyDescent="0.3">
      <c r="A437" s="16" t="s">
        <v>466</v>
      </c>
      <c r="B437" s="3">
        <v>46057</v>
      </c>
      <c r="C437" s="2" t="s">
        <v>30</v>
      </c>
      <c r="D437" s="2" t="s">
        <v>9</v>
      </c>
      <c r="E437" s="2" t="s">
        <v>10</v>
      </c>
      <c r="F437" s="2" t="s">
        <v>17</v>
      </c>
      <c r="G437" s="2">
        <v>63</v>
      </c>
      <c r="H437" s="4">
        <v>5</v>
      </c>
      <c r="I437" s="4">
        <v>315</v>
      </c>
      <c r="J437" s="2">
        <v>70</v>
      </c>
      <c r="K437" s="2">
        <v>3</v>
      </c>
      <c r="L437" s="2">
        <v>2</v>
      </c>
      <c r="M437" s="17" t="s">
        <v>22</v>
      </c>
    </row>
    <row r="438" spans="1:13" x14ac:dyDescent="0.3">
      <c r="A438" s="16" t="s">
        <v>467</v>
      </c>
      <c r="B438" s="3">
        <v>46153</v>
      </c>
      <c r="C438" s="2" t="s">
        <v>8</v>
      </c>
      <c r="D438" s="2" t="s">
        <v>15</v>
      </c>
      <c r="E438" s="2" t="s">
        <v>10</v>
      </c>
      <c r="F438" s="2" t="s">
        <v>17</v>
      </c>
      <c r="G438" s="2">
        <v>26</v>
      </c>
      <c r="H438" s="4">
        <v>100</v>
      </c>
      <c r="I438" s="4">
        <v>2600</v>
      </c>
      <c r="J438" s="2">
        <v>78</v>
      </c>
      <c r="K438" s="2">
        <v>5</v>
      </c>
      <c r="L438" s="2">
        <v>19</v>
      </c>
      <c r="M438" s="17" t="s">
        <v>32</v>
      </c>
    </row>
    <row r="439" spans="1:13" x14ac:dyDescent="0.3">
      <c r="A439" s="16" t="s">
        <v>468</v>
      </c>
      <c r="B439" s="3">
        <v>46119</v>
      </c>
      <c r="C439" s="2" t="s">
        <v>40</v>
      </c>
      <c r="D439" s="2" t="s">
        <v>9</v>
      </c>
      <c r="E439" s="2" t="s">
        <v>10</v>
      </c>
      <c r="F439" s="2" t="s">
        <v>17</v>
      </c>
      <c r="G439" s="2">
        <v>34</v>
      </c>
      <c r="H439" s="4">
        <v>5</v>
      </c>
      <c r="I439" s="4">
        <v>170</v>
      </c>
      <c r="J439" s="2">
        <v>94</v>
      </c>
      <c r="K439" s="2">
        <v>3</v>
      </c>
      <c r="L439" s="2">
        <v>10</v>
      </c>
      <c r="M439" s="17" t="s">
        <v>22</v>
      </c>
    </row>
    <row r="440" spans="1:13" x14ac:dyDescent="0.3">
      <c r="A440" s="16" t="s">
        <v>469</v>
      </c>
      <c r="B440" s="3">
        <v>46049</v>
      </c>
      <c r="C440" s="2" t="s">
        <v>14</v>
      </c>
      <c r="D440" s="2" t="s">
        <v>9</v>
      </c>
      <c r="E440" s="2" t="s">
        <v>16</v>
      </c>
      <c r="F440" s="2" t="s">
        <v>17</v>
      </c>
      <c r="G440" s="2">
        <v>82</v>
      </c>
      <c r="H440" s="4">
        <v>10</v>
      </c>
      <c r="I440" s="4">
        <v>820</v>
      </c>
      <c r="J440" s="2">
        <v>89</v>
      </c>
      <c r="K440" s="2">
        <v>3</v>
      </c>
      <c r="L440" s="2">
        <v>19</v>
      </c>
      <c r="M440" s="17" t="s">
        <v>22</v>
      </c>
    </row>
    <row r="441" spans="1:13" x14ac:dyDescent="0.3">
      <c r="A441" s="16" t="s">
        <v>470</v>
      </c>
      <c r="B441" s="3">
        <v>46098</v>
      </c>
      <c r="C441" s="2" t="s">
        <v>35</v>
      </c>
      <c r="D441" s="2" t="s">
        <v>28</v>
      </c>
      <c r="E441" s="2" t="s">
        <v>20</v>
      </c>
      <c r="F441" s="2" t="s">
        <v>11</v>
      </c>
      <c r="G441" s="2">
        <v>2</v>
      </c>
      <c r="H441" s="4">
        <v>250</v>
      </c>
      <c r="I441" s="4">
        <v>500</v>
      </c>
      <c r="J441" s="2">
        <v>91</v>
      </c>
      <c r="K441" s="2">
        <v>5</v>
      </c>
      <c r="L441" s="2">
        <v>17</v>
      </c>
      <c r="M441" s="17" t="s">
        <v>22</v>
      </c>
    </row>
    <row r="442" spans="1:13" x14ac:dyDescent="0.3">
      <c r="A442" s="16" t="s">
        <v>471</v>
      </c>
      <c r="B442" s="3">
        <v>46026</v>
      </c>
      <c r="C442" s="2" t="s">
        <v>35</v>
      </c>
      <c r="D442" s="2" t="s">
        <v>24</v>
      </c>
      <c r="E442" s="2" t="s">
        <v>16</v>
      </c>
      <c r="F442" s="2" t="s">
        <v>11</v>
      </c>
      <c r="G442" s="2">
        <v>82</v>
      </c>
      <c r="H442" s="4">
        <v>50</v>
      </c>
      <c r="I442" s="4">
        <v>4100</v>
      </c>
      <c r="J442" s="2">
        <v>71</v>
      </c>
      <c r="K442" s="2">
        <v>5</v>
      </c>
      <c r="L442" s="2">
        <v>3</v>
      </c>
      <c r="M442" s="17" t="s">
        <v>32</v>
      </c>
    </row>
    <row r="443" spans="1:13" x14ac:dyDescent="0.3">
      <c r="A443" s="16" t="s">
        <v>472</v>
      </c>
      <c r="B443" s="3">
        <v>46134</v>
      </c>
      <c r="C443" s="2" t="s">
        <v>30</v>
      </c>
      <c r="D443" s="2" t="s">
        <v>28</v>
      </c>
      <c r="E443" s="2" t="s">
        <v>16</v>
      </c>
      <c r="F443" s="2" t="s">
        <v>31</v>
      </c>
      <c r="G443" s="2">
        <v>53</v>
      </c>
      <c r="H443" s="4">
        <v>10</v>
      </c>
      <c r="I443" s="4">
        <v>530</v>
      </c>
      <c r="J443" s="2">
        <v>91</v>
      </c>
      <c r="K443" s="2">
        <v>5</v>
      </c>
      <c r="L443" s="2">
        <v>6</v>
      </c>
      <c r="M443" s="17" t="s">
        <v>22</v>
      </c>
    </row>
    <row r="444" spans="1:13" x14ac:dyDescent="0.3">
      <c r="A444" s="16" t="s">
        <v>473</v>
      </c>
      <c r="B444" s="3">
        <v>46180</v>
      </c>
      <c r="C444" s="2" t="s">
        <v>27</v>
      </c>
      <c r="D444" s="2" t="s">
        <v>28</v>
      </c>
      <c r="E444" s="2" t="s">
        <v>16</v>
      </c>
      <c r="F444" s="2" t="s">
        <v>11</v>
      </c>
      <c r="G444" s="2">
        <v>83</v>
      </c>
      <c r="H444" s="4">
        <v>10</v>
      </c>
      <c r="I444" s="4">
        <v>830</v>
      </c>
      <c r="J444" s="2">
        <v>81</v>
      </c>
      <c r="K444" s="2">
        <v>2</v>
      </c>
      <c r="L444" s="2">
        <v>20</v>
      </c>
      <c r="M444" s="17" t="s">
        <v>22</v>
      </c>
    </row>
    <row r="445" spans="1:13" x14ac:dyDescent="0.3">
      <c r="A445" s="16" t="s">
        <v>474</v>
      </c>
      <c r="B445" s="3">
        <v>46177</v>
      </c>
      <c r="C445" s="2" t="s">
        <v>27</v>
      </c>
      <c r="D445" s="2" t="s">
        <v>9</v>
      </c>
      <c r="E445" s="2" t="s">
        <v>16</v>
      </c>
      <c r="F445" s="2" t="s">
        <v>31</v>
      </c>
      <c r="G445" s="2">
        <v>51</v>
      </c>
      <c r="H445" s="4">
        <v>20</v>
      </c>
      <c r="I445" s="4">
        <v>1020</v>
      </c>
      <c r="J445" s="2">
        <v>97</v>
      </c>
      <c r="K445" s="2">
        <v>3</v>
      </c>
      <c r="L445" s="2">
        <v>5</v>
      </c>
      <c r="M445" s="17" t="s">
        <v>22</v>
      </c>
    </row>
    <row r="446" spans="1:13" x14ac:dyDescent="0.3">
      <c r="A446" s="16" t="s">
        <v>475</v>
      </c>
      <c r="B446" s="3">
        <v>46042</v>
      </c>
      <c r="C446" s="2" t="s">
        <v>35</v>
      </c>
      <c r="D446" s="2" t="s">
        <v>24</v>
      </c>
      <c r="E446" s="2" t="s">
        <v>20</v>
      </c>
      <c r="F446" s="2" t="s">
        <v>21</v>
      </c>
      <c r="G446" s="2">
        <v>39</v>
      </c>
      <c r="H446" s="4">
        <v>20</v>
      </c>
      <c r="I446" s="4">
        <v>780</v>
      </c>
      <c r="J446" s="2">
        <v>80</v>
      </c>
      <c r="K446" s="2">
        <v>5</v>
      </c>
      <c r="L446" s="2">
        <v>5</v>
      </c>
      <c r="M446" s="17" t="s">
        <v>22</v>
      </c>
    </row>
    <row r="447" spans="1:13" x14ac:dyDescent="0.3">
      <c r="A447" s="16" t="s">
        <v>476</v>
      </c>
      <c r="B447" s="3">
        <v>46119</v>
      </c>
      <c r="C447" s="2" t="s">
        <v>27</v>
      </c>
      <c r="D447" s="2" t="s">
        <v>28</v>
      </c>
      <c r="E447" s="2" t="s">
        <v>16</v>
      </c>
      <c r="F447" s="2" t="s">
        <v>17</v>
      </c>
      <c r="G447" s="2">
        <v>10</v>
      </c>
      <c r="H447" s="4">
        <v>20</v>
      </c>
      <c r="I447" s="4">
        <v>200</v>
      </c>
      <c r="J447" s="2">
        <v>93</v>
      </c>
      <c r="K447" s="2">
        <v>5</v>
      </c>
      <c r="L447" s="2">
        <v>7</v>
      </c>
      <c r="M447" s="17" t="s">
        <v>22</v>
      </c>
    </row>
    <row r="448" spans="1:13" x14ac:dyDescent="0.3">
      <c r="A448" s="16" t="s">
        <v>477</v>
      </c>
      <c r="B448" s="3">
        <v>46055</v>
      </c>
      <c r="C448" s="2" t="s">
        <v>8</v>
      </c>
      <c r="D448" s="2" t="s">
        <v>9</v>
      </c>
      <c r="E448" s="2" t="s">
        <v>10</v>
      </c>
      <c r="F448" s="2" t="s">
        <v>17</v>
      </c>
      <c r="G448" s="2">
        <v>92</v>
      </c>
      <c r="H448" s="4">
        <v>50</v>
      </c>
      <c r="I448" s="4">
        <v>4600</v>
      </c>
      <c r="J448" s="2">
        <v>78</v>
      </c>
      <c r="K448" s="2">
        <v>4</v>
      </c>
      <c r="L448" s="2">
        <v>16</v>
      </c>
      <c r="M448" s="17" t="s">
        <v>22</v>
      </c>
    </row>
    <row r="449" spans="1:13" x14ac:dyDescent="0.3">
      <c r="A449" s="16" t="s">
        <v>478</v>
      </c>
      <c r="B449" s="3">
        <v>46181</v>
      </c>
      <c r="C449" s="2" t="s">
        <v>35</v>
      </c>
      <c r="D449" s="2" t="s">
        <v>19</v>
      </c>
      <c r="E449" s="2" t="s">
        <v>42</v>
      </c>
      <c r="F449" s="2" t="s">
        <v>17</v>
      </c>
      <c r="G449" s="2">
        <v>20</v>
      </c>
      <c r="H449" s="4">
        <v>50</v>
      </c>
      <c r="I449" s="4">
        <v>1000</v>
      </c>
      <c r="J449" s="2">
        <v>100</v>
      </c>
      <c r="K449" s="2">
        <v>4</v>
      </c>
      <c r="L449" s="2">
        <v>20</v>
      </c>
      <c r="M449" s="17" t="s">
        <v>22</v>
      </c>
    </row>
    <row r="450" spans="1:13" x14ac:dyDescent="0.3">
      <c r="A450" s="16" t="s">
        <v>479</v>
      </c>
      <c r="B450" s="3">
        <v>46148</v>
      </c>
      <c r="C450" s="2" t="s">
        <v>40</v>
      </c>
      <c r="D450" s="2" t="s">
        <v>15</v>
      </c>
      <c r="E450" s="2" t="s">
        <v>24</v>
      </c>
      <c r="F450" s="2" t="s">
        <v>25</v>
      </c>
      <c r="G450" s="2">
        <v>9</v>
      </c>
      <c r="H450" s="4">
        <v>20</v>
      </c>
      <c r="I450" s="4">
        <v>180</v>
      </c>
      <c r="J450" s="2">
        <v>82</v>
      </c>
      <c r="K450" s="2">
        <v>2</v>
      </c>
      <c r="L450" s="2">
        <v>16</v>
      </c>
      <c r="M450" s="17" t="s">
        <v>22</v>
      </c>
    </row>
    <row r="451" spans="1:13" x14ac:dyDescent="0.3">
      <c r="A451" s="16" t="s">
        <v>480</v>
      </c>
      <c r="B451" s="3">
        <v>46185</v>
      </c>
      <c r="C451" s="2" t="s">
        <v>14</v>
      </c>
      <c r="D451" s="2" t="s">
        <v>15</v>
      </c>
      <c r="E451" s="2" t="s">
        <v>16</v>
      </c>
      <c r="F451" s="2" t="s">
        <v>21</v>
      </c>
      <c r="G451" s="2">
        <v>3</v>
      </c>
      <c r="H451" s="4">
        <v>10</v>
      </c>
      <c r="I451" s="4">
        <v>30</v>
      </c>
      <c r="J451" s="2">
        <v>91</v>
      </c>
      <c r="K451" s="2">
        <v>4</v>
      </c>
      <c r="L451" s="2">
        <v>7</v>
      </c>
      <c r="M451" s="17" t="s">
        <v>32</v>
      </c>
    </row>
    <row r="452" spans="1:13" x14ac:dyDescent="0.3">
      <c r="A452" s="16" t="s">
        <v>481</v>
      </c>
      <c r="B452" s="3">
        <v>46026</v>
      </c>
      <c r="C452" s="2" t="s">
        <v>40</v>
      </c>
      <c r="D452" s="2" t="s">
        <v>28</v>
      </c>
      <c r="E452" s="2" t="s">
        <v>16</v>
      </c>
      <c r="F452" s="2" t="s">
        <v>11</v>
      </c>
      <c r="G452" s="2">
        <v>48</v>
      </c>
      <c r="H452" s="4">
        <v>100</v>
      </c>
      <c r="I452" s="4">
        <v>4800</v>
      </c>
      <c r="J452" s="2">
        <v>73</v>
      </c>
      <c r="K452" s="2">
        <v>3</v>
      </c>
      <c r="L452" s="2">
        <v>16</v>
      </c>
      <c r="M452" s="17" t="s">
        <v>22</v>
      </c>
    </row>
    <row r="453" spans="1:13" x14ac:dyDescent="0.3">
      <c r="A453" s="16" t="s">
        <v>482</v>
      </c>
      <c r="B453" s="3">
        <v>46073</v>
      </c>
      <c r="C453" s="2" t="s">
        <v>8</v>
      </c>
      <c r="D453" s="2" t="s">
        <v>24</v>
      </c>
      <c r="E453" s="2" t="s">
        <v>10</v>
      </c>
      <c r="F453" s="2" t="s">
        <v>31</v>
      </c>
      <c r="G453" s="2">
        <v>70</v>
      </c>
      <c r="H453" s="4">
        <v>50</v>
      </c>
      <c r="I453" s="4">
        <v>3500</v>
      </c>
      <c r="J453" s="2">
        <v>74</v>
      </c>
      <c r="K453" s="2">
        <v>2</v>
      </c>
      <c r="L453" s="2">
        <v>14</v>
      </c>
      <c r="M453" s="17" t="s">
        <v>22</v>
      </c>
    </row>
    <row r="454" spans="1:13" x14ac:dyDescent="0.3">
      <c r="A454" s="16" t="s">
        <v>483</v>
      </c>
      <c r="B454" s="3">
        <v>46115</v>
      </c>
      <c r="C454" s="2" t="s">
        <v>40</v>
      </c>
      <c r="D454" s="2" t="s">
        <v>28</v>
      </c>
      <c r="E454" s="2" t="s">
        <v>24</v>
      </c>
      <c r="F454" s="2" t="s">
        <v>11</v>
      </c>
      <c r="G454" s="2">
        <v>8</v>
      </c>
      <c r="H454" s="4">
        <v>50</v>
      </c>
      <c r="I454" s="4">
        <v>400</v>
      </c>
      <c r="J454" s="2">
        <v>75</v>
      </c>
      <c r="K454" s="2">
        <v>3</v>
      </c>
      <c r="L454" s="2">
        <v>7</v>
      </c>
      <c r="M454" s="17" t="s">
        <v>22</v>
      </c>
    </row>
    <row r="455" spans="1:13" x14ac:dyDescent="0.3">
      <c r="A455" s="16" t="s">
        <v>484</v>
      </c>
      <c r="B455" s="3">
        <v>46124</v>
      </c>
      <c r="C455" s="2" t="s">
        <v>14</v>
      </c>
      <c r="D455" s="2" t="s">
        <v>24</v>
      </c>
      <c r="E455" s="2" t="s">
        <v>24</v>
      </c>
      <c r="F455" s="2" t="s">
        <v>21</v>
      </c>
      <c r="G455" s="2">
        <v>3</v>
      </c>
      <c r="H455" s="4">
        <v>50</v>
      </c>
      <c r="I455" s="4">
        <v>150</v>
      </c>
      <c r="J455" s="2">
        <v>84</v>
      </c>
      <c r="K455" s="2">
        <v>3</v>
      </c>
      <c r="L455" s="2">
        <v>2</v>
      </c>
      <c r="M455" s="17" t="s">
        <v>12</v>
      </c>
    </row>
    <row r="456" spans="1:13" x14ac:dyDescent="0.3">
      <c r="A456" s="16" t="s">
        <v>485</v>
      </c>
      <c r="B456" s="3">
        <v>46076</v>
      </c>
      <c r="C456" s="2" t="s">
        <v>8</v>
      </c>
      <c r="D456" s="2" t="s">
        <v>15</v>
      </c>
      <c r="E456" s="2" t="s">
        <v>24</v>
      </c>
      <c r="F456" s="2" t="s">
        <v>17</v>
      </c>
      <c r="G456" s="2">
        <v>50</v>
      </c>
      <c r="H456" s="4">
        <v>10</v>
      </c>
      <c r="I456" s="4">
        <v>500</v>
      </c>
      <c r="J456" s="2">
        <v>92</v>
      </c>
      <c r="K456" s="2">
        <v>2</v>
      </c>
      <c r="L456" s="2">
        <v>17</v>
      </c>
      <c r="M456" s="17" t="s">
        <v>22</v>
      </c>
    </row>
    <row r="457" spans="1:13" x14ac:dyDescent="0.3">
      <c r="A457" s="16" t="s">
        <v>486</v>
      </c>
      <c r="B457" s="3">
        <v>46181</v>
      </c>
      <c r="C457" s="2" t="s">
        <v>30</v>
      </c>
      <c r="D457" s="2" t="s">
        <v>24</v>
      </c>
      <c r="E457" s="2" t="s">
        <v>42</v>
      </c>
      <c r="F457" s="2" t="s">
        <v>17</v>
      </c>
      <c r="G457" s="2">
        <v>100</v>
      </c>
      <c r="H457" s="4">
        <v>10</v>
      </c>
      <c r="I457" s="4">
        <v>1000</v>
      </c>
      <c r="J457" s="2">
        <v>71</v>
      </c>
      <c r="K457" s="2">
        <v>5</v>
      </c>
      <c r="L457" s="2">
        <v>15</v>
      </c>
      <c r="M457" s="17" t="s">
        <v>22</v>
      </c>
    </row>
    <row r="458" spans="1:13" x14ac:dyDescent="0.3">
      <c r="A458" s="16" t="s">
        <v>487</v>
      </c>
      <c r="B458" s="3">
        <v>46095</v>
      </c>
      <c r="C458" s="2" t="s">
        <v>30</v>
      </c>
      <c r="D458" s="2" t="s">
        <v>15</v>
      </c>
      <c r="E458" s="2" t="s">
        <v>42</v>
      </c>
      <c r="F458" s="2" t="s">
        <v>25</v>
      </c>
      <c r="G458" s="2">
        <v>19</v>
      </c>
      <c r="H458" s="4">
        <v>10</v>
      </c>
      <c r="I458" s="4">
        <v>190</v>
      </c>
      <c r="J458" s="2">
        <v>86</v>
      </c>
      <c r="K458" s="2">
        <v>5</v>
      </c>
      <c r="L458" s="2">
        <v>20</v>
      </c>
      <c r="M458" s="17" t="s">
        <v>22</v>
      </c>
    </row>
    <row r="459" spans="1:13" x14ac:dyDescent="0.3">
      <c r="A459" s="16" t="s">
        <v>488</v>
      </c>
      <c r="B459" s="3">
        <v>46149</v>
      </c>
      <c r="C459" s="2" t="s">
        <v>30</v>
      </c>
      <c r="D459" s="2" t="s">
        <v>19</v>
      </c>
      <c r="E459" s="2" t="s">
        <v>20</v>
      </c>
      <c r="F459" s="2" t="s">
        <v>25</v>
      </c>
      <c r="G459" s="2">
        <v>28</v>
      </c>
      <c r="H459" s="4">
        <v>5</v>
      </c>
      <c r="I459" s="4">
        <v>140</v>
      </c>
      <c r="J459" s="2">
        <v>74</v>
      </c>
      <c r="K459" s="2">
        <v>4</v>
      </c>
      <c r="L459" s="2">
        <v>12</v>
      </c>
      <c r="M459" s="17" t="s">
        <v>22</v>
      </c>
    </row>
    <row r="460" spans="1:13" x14ac:dyDescent="0.3">
      <c r="A460" s="16" t="s">
        <v>489</v>
      </c>
      <c r="B460" s="3">
        <v>46044</v>
      </c>
      <c r="C460" s="2" t="s">
        <v>8</v>
      </c>
      <c r="D460" s="2" t="s">
        <v>15</v>
      </c>
      <c r="E460" s="2" t="s">
        <v>24</v>
      </c>
      <c r="F460" s="2" t="s">
        <v>11</v>
      </c>
      <c r="G460" s="2">
        <v>16</v>
      </c>
      <c r="H460" s="4">
        <v>100</v>
      </c>
      <c r="I460" s="4">
        <v>1600</v>
      </c>
      <c r="J460" s="2">
        <v>82</v>
      </c>
      <c r="K460" s="2">
        <v>3</v>
      </c>
      <c r="L460" s="2">
        <v>12</v>
      </c>
      <c r="M460" s="17" t="s">
        <v>22</v>
      </c>
    </row>
    <row r="461" spans="1:13" x14ac:dyDescent="0.3">
      <c r="A461" s="16" t="s">
        <v>490</v>
      </c>
      <c r="B461" s="3">
        <v>46036</v>
      </c>
      <c r="C461" s="2" t="s">
        <v>30</v>
      </c>
      <c r="D461" s="2" t="s">
        <v>19</v>
      </c>
      <c r="E461" s="2" t="s">
        <v>24</v>
      </c>
      <c r="F461" s="2" t="s">
        <v>31</v>
      </c>
      <c r="G461" s="2">
        <v>21</v>
      </c>
      <c r="H461" s="4">
        <v>5</v>
      </c>
      <c r="I461" s="4">
        <v>105</v>
      </c>
      <c r="J461" s="2">
        <v>100</v>
      </c>
      <c r="K461" s="2">
        <v>4</v>
      </c>
      <c r="L461" s="2">
        <v>5</v>
      </c>
      <c r="M461" s="17" t="s">
        <v>22</v>
      </c>
    </row>
    <row r="462" spans="1:13" x14ac:dyDescent="0.3">
      <c r="A462" s="16" t="s">
        <v>491</v>
      </c>
      <c r="B462" s="3">
        <v>46090</v>
      </c>
      <c r="C462" s="2" t="s">
        <v>8</v>
      </c>
      <c r="D462" s="2" t="s">
        <v>9</v>
      </c>
      <c r="E462" s="2" t="s">
        <v>42</v>
      </c>
      <c r="F462" s="2" t="s">
        <v>17</v>
      </c>
      <c r="G462" s="2">
        <v>51</v>
      </c>
      <c r="H462" s="4">
        <v>250</v>
      </c>
      <c r="I462" s="4">
        <v>12750</v>
      </c>
      <c r="J462" s="2">
        <v>90</v>
      </c>
      <c r="K462" s="2">
        <v>3</v>
      </c>
      <c r="L462" s="2">
        <v>4</v>
      </c>
      <c r="M462" s="17" t="s">
        <v>22</v>
      </c>
    </row>
    <row r="463" spans="1:13" x14ac:dyDescent="0.3">
      <c r="A463" s="16" t="s">
        <v>492</v>
      </c>
      <c r="B463" s="3">
        <v>46037</v>
      </c>
      <c r="C463" s="2" t="s">
        <v>27</v>
      </c>
      <c r="D463" s="2" t="s">
        <v>28</v>
      </c>
      <c r="E463" s="2" t="s">
        <v>24</v>
      </c>
      <c r="F463" s="2" t="s">
        <v>21</v>
      </c>
      <c r="G463" s="2">
        <v>20</v>
      </c>
      <c r="H463" s="4">
        <v>100</v>
      </c>
      <c r="I463" s="4">
        <v>2000</v>
      </c>
      <c r="J463" s="2">
        <v>94</v>
      </c>
      <c r="K463" s="2">
        <v>3</v>
      </c>
      <c r="L463" s="2">
        <v>2</v>
      </c>
      <c r="M463" s="17" t="s">
        <v>22</v>
      </c>
    </row>
    <row r="464" spans="1:13" x14ac:dyDescent="0.3">
      <c r="A464" s="16" t="s">
        <v>493</v>
      </c>
      <c r="B464" s="3">
        <v>46119</v>
      </c>
      <c r="C464" s="2" t="s">
        <v>8</v>
      </c>
      <c r="D464" s="2" t="s">
        <v>28</v>
      </c>
      <c r="E464" s="2" t="s">
        <v>10</v>
      </c>
      <c r="F464" s="2" t="s">
        <v>25</v>
      </c>
      <c r="G464" s="2">
        <v>24</v>
      </c>
      <c r="H464" s="4">
        <v>10</v>
      </c>
      <c r="I464" s="4">
        <v>240</v>
      </c>
      <c r="J464" s="2">
        <v>83</v>
      </c>
      <c r="K464" s="2">
        <v>4</v>
      </c>
      <c r="L464" s="2">
        <v>17</v>
      </c>
      <c r="M464" s="17" t="s">
        <v>22</v>
      </c>
    </row>
    <row r="465" spans="1:13" x14ac:dyDescent="0.3">
      <c r="A465" s="16" t="s">
        <v>494</v>
      </c>
      <c r="B465" s="3">
        <v>46065</v>
      </c>
      <c r="C465" s="2" t="s">
        <v>40</v>
      </c>
      <c r="D465" s="2" t="s">
        <v>15</v>
      </c>
      <c r="E465" s="2" t="s">
        <v>42</v>
      </c>
      <c r="F465" s="2" t="s">
        <v>17</v>
      </c>
      <c r="G465" s="2">
        <v>17</v>
      </c>
      <c r="H465" s="4">
        <v>20</v>
      </c>
      <c r="I465" s="4">
        <v>340</v>
      </c>
      <c r="J465" s="2">
        <v>76</v>
      </c>
      <c r="K465" s="2">
        <v>3</v>
      </c>
      <c r="L465" s="2">
        <v>7</v>
      </c>
      <c r="M465" s="17" t="s">
        <v>22</v>
      </c>
    </row>
    <row r="466" spans="1:13" x14ac:dyDescent="0.3">
      <c r="A466" s="16" t="s">
        <v>495</v>
      </c>
      <c r="B466" s="3">
        <v>46041</v>
      </c>
      <c r="C466" s="2" t="s">
        <v>8</v>
      </c>
      <c r="D466" s="2" t="s">
        <v>15</v>
      </c>
      <c r="E466" s="2" t="s">
        <v>16</v>
      </c>
      <c r="F466" s="2" t="s">
        <v>11</v>
      </c>
      <c r="G466" s="2">
        <v>10</v>
      </c>
      <c r="H466" s="4">
        <v>10</v>
      </c>
      <c r="I466" s="4">
        <v>100</v>
      </c>
      <c r="J466" s="2">
        <v>100</v>
      </c>
      <c r="K466" s="2">
        <v>5</v>
      </c>
      <c r="L466" s="2">
        <v>16</v>
      </c>
      <c r="M466" s="17" t="s">
        <v>32</v>
      </c>
    </row>
    <row r="467" spans="1:13" x14ac:dyDescent="0.3">
      <c r="A467" s="16" t="s">
        <v>496</v>
      </c>
      <c r="B467" s="3">
        <v>46030</v>
      </c>
      <c r="C467" s="2" t="s">
        <v>35</v>
      </c>
      <c r="D467" s="2" t="s">
        <v>9</v>
      </c>
      <c r="E467" s="2" t="s">
        <v>10</v>
      </c>
      <c r="F467" s="2" t="s">
        <v>11</v>
      </c>
      <c r="G467" s="2">
        <v>68</v>
      </c>
      <c r="H467" s="4">
        <v>10</v>
      </c>
      <c r="I467" s="4">
        <v>680</v>
      </c>
      <c r="J467" s="2">
        <v>82</v>
      </c>
      <c r="K467" s="2">
        <v>2</v>
      </c>
      <c r="L467" s="2">
        <v>2</v>
      </c>
      <c r="M467" s="17" t="s">
        <v>22</v>
      </c>
    </row>
    <row r="468" spans="1:13" x14ac:dyDescent="0.3">
      <c r="A468" s="16" t="s">
        <v>497</v>
      </c>
      <c r="B468" s="3">
        <v>46069</v>
      </c>
      <c r="C468" s="2" t="s">
        <v>35</v>
      </c>
      <c r="D468" s="2" t="s">
        <v>24</v>
      </c>
      <c r="E468" s="2" t="s">
        <v>20</v>
      </c>
      <c r="F468" s="2" t="s">
        <v>25</v>
      </c>
      <c r="G468" s="2">
        <v>86</v>
      </c>
      <c r="H468" s="4">
        <v>100</v>
      </c>
      <c r="I468" s="4">
        <v>8600</v>
      </c>
      <c r="J468" s="2">
        <v>78</v>
      </c>
      <c r="K468" s="2">
        <v>5</v>
      </c>
      <c r="L468" s="2">
        <v>16</v>
      </c>
      <c r="M468" s="17" t="s">
        <v>22</v>
      </c>
    </row>
    <row r="469" spans="1:13" x14ac:dyDescent="0.3">
      <c r="A469" s="16" t="s">
        <v>498</v>
      </c>
      <c r="B469" s="3">
        <v>46105</v>
      </c>
      <c r="C469" s="2" t="s">
        <v>30</v>
      </c>
      <c r="D469" s="2" t="s">
        <v>19</v>
      </c>
      <c r="E469" s="2" t="s">
        <v>10</v>
      </c>
      <c r="F469" s="2" t="s">
        <v>17</v>
      </c>
      <c r="G469" s="2">
        <v>51</v>
      </c>
      <c r="H469" s="4">
        <v>100</v>
      </c>
      <c r="I469" s="4">
        <v>5100</v>
      </c>
      <c r="J469" s="2">
        <v>72</v>
      </c>
      <c r="K469" s="2">
        <v>5</v>
      </c>
      <c r="L469" s="2">
        <v>3</v>
      </c>
      <c r="M469" s="17" t="s">
        <v>22</v>
      </c>
    </row>
    <row r="470" spans="1:13" x14ac:dyDescent="0.3">
      <c r="A470" s="16" t="s">
        <v>499</v>
      </c>
      <c r="B470" s="3">
        <v>46037</v>
      </c>
      <c r="C470" s="2" t="s">
        <v>30</v>
      </c>
      <c r="D470" s="2" t="s">
        <v>19</v>
      </c>
      <c r="E470" s="2" t="s">
        <v>24</v>
      </c>
      <c r="F470" s="2" t="s">
        <v>11</v>
      </c>
      <c r="G470" s="2">
        <v>1</v>
      </c>
      <c r="H470" s="4">
        <v>20</v>
      </c>
      <c r="I470" s="4">
        <v>20</v>
      </c>
      <c r="J470" s="2">
        <v>75</v>
      </c>
      <c r="K470" s="2">
        <v>2</v>
      </c>
      <c r="L470" s="2">
        <v>7</v>
      </c>
      <c r="M470" s="17" t="s">
        <v>22</v>
      </c>
    </row>
    <row r="471" spans="1:13" x14ac:dyDescent="0.3">
      <c r="A471" s="16" t="s">
        <v>500</v>
      </c>
      <c r="B471" s="3">
        <v>46058</v>
      </c>
      <c r="C471" s="2" t="s">
        <v>30</v>
      </c>
      <c r="D471" s="2" t="s">
        <v>15</v>
      </c>
      <c r="E471" s="2" t="s">
        <v>24</v>
      </c>
      <c r="F471" s="2" t="s">
        <v>17</v>
      </c>
      <c r="G471" s="2">
        <v>52</v>
      </c>
      <c r="H471" s="4">
        <v>20</v>
      </c>
      <c r="I471" s="4">
        <v>1040</v>
      </c>
      <c r="J471" s="2">
        <v>78</v>
      </c>
      <c r="K471" s="2">
        <v>3</v>
      </c>
      <c r="L471" s="2">
        <v>14</v>
      </c>
      <c r="M471" s="17" t="s">
        <v>22</v>
      </c>
    </row>
    <row r="472" spans="1:13" x14ac:dyDescent="0.3">
      <c r="A472" s="16" t="s">
        <v>501</v>
      </c>
      <c r="B472" s="3">
        <v>46185</v>
      </c>
      <c r="C472" s="2" t="s">
        <v>8</v>
      </c>
      <c r="D472" s="2" t="s">
        <v>19</v>
      </c>
      <c r="E472" s="2" t="s">
        <v>20</v>
      </c>
      <c r="F472" s="2" t="s">
        <v>17</v>
      </c>
      <c r="G472" s="2">
        <v>80</v>
      </c>
      <c r="H472" s="4">
        <v>250</v>
      </c>
      <c r="I472" s="4">
        <v>20000</v>
      </c>
      <c r="J472" s="2">
        <v>85</v>
      </c>
      <c r="K472" s="2">
        <v>3</v>
      </c>
      <c r="L472" s="2">
        <v>6</v>
      </c>
      <c r="M472" s="17" t="s">
        <v>22</v>
      </c>
    </row>
    <row r="473" spans="1:13" x14ac:dyDescent="0.3">
      <c r="A473" s="16" t="s">
        <v>502</v>
      </c>
      <c r="B473" s="3">
        <v>46036</v>
      </c>
      <c r="C473" s="2" t="s">
        <v>8</v>
      </c>
      <c r="D473" s="2" t="s">
        <v>9</v>
      </c>
      <c r="E473" s="2" t="s">
        <v>16</v>
      </c>
      <c r="F473" s="2" t="s">
        <v>21</v>
      </c>
      <c r="G473" s="2">
        <v>58</v>
      </c>
      <c r="H473" s="4">
        <v>10</v>
      </c>
      <c r="I473" s="4">
        <v>580</v>
      </c>
      <c r="J473" s="2">
        <v>98</v>
      </c>
      <c r="K473" s="2">
        <v>2</v>
      </c>
      <c r="L473" s="2">
        <v>3</v>
      </c>
      <c r="M473" s="17" t="s">
        <v>22</v>
      </c>
    </row>
    <row r="474" spans="1:13" x14ac:dyDescent="0.3">
      <c r="A474" s="16" t="s">
        <v>503</v>
      </c>
      <c r="B474" s="3">
        <v>46126</v>
      </c>
      <c r="C474" s="2" t="s">
        <v>40</v>
      </c>
      <c r="D474" s="2" t="s">
        <v>24</v>
      </c>
      <c r="E474" s="2" t="s">
        <v>16</v>
      </c>
      <c r="F474" s="2" t="s">
        <v>11</v>
      </c>
      <c r="G474" s="2">
        <v>98</v>
      </c>
      <c r="H474" s="4">
        <v>20</v>
      </c>
      <c r="I474" s="4">
        <v>1960</v>
      </c>
      <c r="J474" s="2">
        <v>92</v>
      </c>
      <c r="K474" s="2">
        <v>4</v>
      </c>
      <c r="L474" s="2">
        <v>10</v>
      </c>
      <c r="M474" s="17" t="s">
        <v>22</v>
      </c>
    </row>
    <row r="475" spans="1:13" x14ac:dyDescent="0.3">
      <c r="A475" s="16" t="s">
        <v>504</v>
      </c>
      <c r="B475" s="3">
        <v>46102</v>
      </c>
      <c r="C475" s="2" t="s">
        <v>40</v>
      </c>
      <c r="D475" s="2" t="s">
        <v>9</v>
      </c>
      <c r="E475" s="2" t="s">
        <v>42</v>
      </c>
      <c r="F475" s="2" t="s">
        <v>17</v>
      </c>
      <c r="G475" s="2">
        <v>25</v>
      </c>
      <c r="H475" s="4">
        <v>20</v>
      </c>
      <c r="I475" s="4">
        <v>500</v>
      </c>
      <c r="J475" s="2">
        <v>91</v>
      </c>
      <c r="K475" s="2">
        <v>5</v>
      </c>
      <c r="L475" s="2">
        <v>4</v>
      </c>
      <c r="M475" s="17" t="s">
        <v>32</v>
      </c>
    </row>
    <row r="476" spans="1:13" x14ac:dyDescent="0.3">
      <c r="A476" s="16" t="s">
        <v>505</v>
      </c>
      <c r="B476" s="3">
        <v>46151</v>
      </c>
      <c r="C476" s="2" t="s">
        <v>14</v>
      </c>
      <c r="D476" s="2" t="s">
        <v>9</v>
      </c>
      <c r="E476" s="2" t="s">
        <v>20</v>
      </c>
      <c r="F476" s="2" t="s">
        <v>21</v>
      </c>
      <c r="G476" s="2">
        <v>39</v>
      </c>
      <c r="H476" s="4">
        <v>250</v>
      </c>
      <c r="I476" s="4">
        <v>9750</v>
      </c>
      <c r="J476" s="2">
        <v>94</v>
      </c>
      <c r="K476" s="2">
        <v>5</v>
      </c>
      <c r="L476" s="2">
        <v>19</v>
      </c>
      <c r="M476" s="17" t="s">
        <v>22</v>
      </c>
    </row>
    <row r="477" spans="1:13" x14ac:dyDescent="0.3">
      <c r="A477" s="16" t="s">
        <v>506</v>
      </c>
      <c r="B477" s="3">
        <v>46042</v>
      </c>
      <c r="C477" s="2" t="s">
        <v>8</v>
      </c>
      <c r="D477" s="2" t="s">
        <v>28</v>
      </c>
      <c r="E477" s="2" t="s">
        <v>42</v>
      </c>
      <c r="F477" s="2" t="s">
        <v>31</v>
      </c>
      <c r="G477" s="2">
        <v>30</v>
      </c>
      <c r="H477" s="4">
        <v>50</v>
      </c>
      <c r="I477" s="4">
        <v>1500</v>
      </c>
      <c r="J477" s="2">
        <v>71</v>
      </c>
      <c r="K477" s="2">
        <v>3</v>
      </c>
      <c r="L477" s="2">
        <v>7</v>
      </c>
      <c r="M477" s="17" t="s">
        <v>22</v>
      </c>
    </row>
    <row r="478" spans="1:13" x14ac:dyDescent="0.3">
      <c r="A478" s="16" t="s">
        <v>507</v>
      </c>
      <c r="B478" s="3">
        <v>46083</v>
      </c>
      <c r="C478" s="2" t="s">
        <v>8</v>
      </c>
      <c r="D478" s="2" t="s">
        <v>28</v>
      </c>
      <c r="E478" s="2" t="s">
        <v>20</v>
      </c>
      <c r="F478" s="2" t="s">
        <v>21</v>
      </c>
      <c r="G478" s="2">
        <v>44</v>
      </c>
      <c r="H478" s="4">
        <v>5</v>
      </c>
      <c r="I478" s="4">
        <v>220</v>
      </c>
      <c r="J478" s="2">
        <v>93</v>
      </c>
      <c r="K478" s="2">
        <v>4</v>
      </c>
      <c r="L478" s="2">
        <v>7</v>
      </c>
      <c r="M478" s="17" t="s">
        <v>22</v>
      </c>
    </row>
    <row r="479" spans="1:13" x14ac:dyDescent="0.3">
      <c r="A479" s="16" t="s">
        <v>508</v>
      </c>
      <c r="B479" s="3">
        <v>46196</v>
      </c>
      <c r="C479" s="2" t="s">
        <v>40</v>
      </c>
      <c r="D479" s="2" t="s">
        <v>15</v>
      </c>
      <c r="E479" s="2" t="s">
        <v>24</v>
      </c>
      <c r="F479" s="2" t="s">
        <v>11</v>
      </c>
      <c r="G479" s="2">
        <v>77</v>
      </c>
      <c r="H479" s="4">
        <v>250</v>
      </c>
      <c r="I479" s="4">
        <v>19250</v>
      </c>
      <c r="J479" s="2">
        <v>79</v>
      </c>
      <c r="K479" s="2">
        <v>3</v>
      </c>
      <c r="L479" s="2">
        <v>16</v>
      </c>
      <c r="M479" s="17" t="s">
        <v>22</v>
      </c>
    </row>
    <row r="480" spans="1:13" x14ac:dyDescent="0.3">
      <c r="A480" s="16" t="s">
        <v>509</v>
      </c>
      <c r="B480" s="3">
        <v>46168</v>
      </c>
      <c r="C480" s="2" t="s">
        <v>30</v>
      </c>
      <c r="D480" s="2" t="s">
        <v>24</v>
      </c>
      <c r="E480" s="2" t="s">
        <v>10</v>
      </c>
      <c r="F480" s="2" t="s">
        <v>31</v>
      </c>
      <c r="G480" s="2">
        <v>25</v>
      </c>
      <c r="H480" s="4">
        <v>20</v>
      </c>
      <c r="I480" s="4">
        <v>500</v>
      </c>
      <c r="J480" s="2">
        <v>76</v>
      </c>
      <c r="K480" s="2">
        <v>2</v>
      </c>
      <c r="L480" s="2">
        <v>9</v>
      </c>
      <c r="M480" s="17" t="s">
        <v>22</v>
      </c>
    </row>
    <row r="481" spans="1:13" x14ac:dyDescent="0.3">
      <c r="A481" s="16" t="s">
        <v>510</v>
      </c>
      <c r="B481" s="3">
        <v>46072</v>
      </c>
      <c r="C481" s="2" t="s">
        <v>14</v>
      </c>
      <c r="D481" s="2" t="s">
        <v>24</v>
      </c>
      <c r="E481" s="2" t="s">
        <v>10</v>
      </c>
      <c r="F481" s="2" t="s">
        <v>25</v>
      </c>
      <c r="G481" s="2">
        <v>99</v>
      </c>
      <c r="H481" s="4">
        <v>50</v>
      </c>
      <c r="I481" s="4">
        <v>4950</v>
      </c>
      <c r="J481" s="2">
        <v>86</v>
      </c>
      <c r="K481" s="2">
        <v>2</v>
      </c>
      <c r="L481" s="2">
        <v>6</v>
      </c>
      <c r="M481" s="17" t="s">
        <v>32</v>
      </c>
    </row>
    <row r="482" spans="1:13" x14ac:dyDescent="0.3">
      <c r="A482" s="16" t="s">
        <v>511</v>
      </c>
      <c r="B482" s="3">
        <v>46039</v>
      </c>
      <c r="C482" s="2" t="s">
        <v>30</v>
      </c>
      <c r="D482" s="2" t="s">
        <v>19</v>
      </c>
      <c r="E482" s="2" t="s">
        <v>10</v>
      </c>
      <c r="F482" s="2" t="s">
        <v>21</v>
      </c>
      <c r="G482" s="2">
        <v>83</v>
      </c>
      <c r="H482" s="4">
        <v>5</v>
      </c>
      <c r="I482" s="4">
        <v>415</v>
      </c>
      <c r="J482" s="2">
        <v>71</v>
      </c>
      <c r="K482" s="2">
        <v>5</v>
      </c>
      <c r="L482" s="2">
        <v>19</v>
      </c>
      <c r="M482" s="17" t="s">
        <v>22</v>
      </c>
    </row>
    <row r="483" spans="1:13" x14ac:dyDescent="0.3">
      <c r="A483" s="16" t="s">
        <v>512</v>
      </c>
      <c r="B483" s="3">
        <v>46024</v>
      </c>
      <c r="C483" s="2" t="s">
        <v>27</v>
      </c>
      <c r="D483" s="2" t="s">
        <v>28</v>
      </c>
      <c r="E483" s="2" t="s">
        <v>42</v>
      </c>
      <c r="F483" s="2" t="s">
        <v>25</v>
      </c>
      <c r="G483" s="2">
        <v>64</v>
      </c>
      <c r="H483" s="4">
        <v>50</v>
      </c>
      <c r="I483" s="4">
        <v>3200</v>
      </c>
      <c r="J483" s="2">
        <v>89</v>
      </c>
      <c r="K483" s="2">
        <v>5</v>
      </c>
      <c r="L483" s="2">
        <v>20</v>
      </c>
      <c r="M483" s="17" t="s">
        <v>32</v>
      </c>
    </row>
    <row r="484" spans="1:13" x14ac:dyDescent="0.3">
      <c r="A484" s="16" t="s">
        <v>513</v>
      </c>
      <c r="B484" s="3">
        <v>46045</v>
      </c>
      <c r="C484" s="2" t="s">
        <v>27</v>
      </c>
      <c r="D484" s="2" t="s">
        <v>28</v>
      </c>
      <c r="E484" s="2" t="s">
        <v>24</v>
      </c>
      <c r="F484" s="2" t="s">
        <v>17</v>
      </c>
      <c r="G484" s="2">
        <v>59</v>
      </c>
      <c r="H484" s="4">
        <v>50</v>
      </c>
      <c r="I484" s="4">
        <v>2950</v>
      </c>
      <c r="J484" s="2">
        <v>75</v>
      </c>
      <c r="K484" s="2">
        <v>4</v>
      </c>
      <c r="L484" s="2">
        <v>13</v>
      </c>
      <c r="M484" s="17" t="s">
        <v>22</v>
      </c>
    </row>
    <row r="485" spans="1:13" x14ac:dyDescent="0.3">
      <c r="A485" s="16" t="s">
        <v>514</v>
      </c>
      <c r="B485" s="3">
        <v>46148</v>
      </c>
      <c r="C485" s="2" t="s">
        <v>40</v>
      </c>
      <c r="D485" s="2" t="s">
        <v>28</v>
      </c>
      <c r="E485" s="2" t="s">
        <v>24</v>
      </c>
      <c r="F485" s="2" t="s">
        <v>11</v>
      </c>
      <c r="G485" s="2">
        <v>99</v>
      </c>
      <c r="H485" s="4">
        <v>10</v>
      </c>
      <c r="I485" s="4">
        <v>990</v>
      </c>
      <c r="J485" s="2">
        <v>83</v>
      </c>
      <c r="K485" s="2">
        <v>2</v>
      </c>
      <c r="L485" s="2">
        <v>18</v>
      </c>
      <c r="M485" s="17" t="s">
        <v>32</v>
      </c>
    </row>
    <row r="486" spans="1:13" x14ac:dyDescent="0.3">
      <c r="A486" s="16" t="s">
        <v>515</v>
      </c>
      <c r="B486" s="3">
        <v>46117</v>
      </c>
      <c r="C486" s="2" t="s">
        <v>30</v>
      </c>
      <c r="D486" s="2" t="s">
        <v>15</v>
      </c>
      <c r="E486" s="2" t="s">
        <v>42</v>
      </c>
      <c r="F486" s="2" t="s">
        <v>31</v>
      </c>
      <c r="G486" s="2">
        <v>90</v>
      </c>
      <c r="H486" s="4">
        <v>20</v>
      </c>
      <c r="I486" s="4">
        <v>1800</v>
      </c>
      <c r="J486" s="2">
        <v>73</v>
      </c>
      <c r="K486" s="2">
        <v>5</v>
      </c>
      <c r="L486" s="2">
        <v>14</v>
      </c>
      <c r="M486" s="17" t="s">
        <v>22</v>
      </c>
    </row>
    <row r="487" spans="1:13" x14ac:dyDescent="0.3">
      <c r="A487" s="16" t="s">
        <v>516</v>
      </c>
      <c r="B487" s="3">
        <v>46026</v>
      </c>
      <c r="C487" s="2" t="s">
        <v>40</v>
      </c>
      <c r="D487" s="2" t="s">
        <v>9</v>
      </c>
      <c r="E487" s="2" t="s">
        <v>24</v>
      </c>
      <c r="F487" s="2" t="s">
        <v>21</v>
      </c>
      <c r="G487" s="2">
        <v>62</v>
      </c>
      <c r="H487" s="4">
        <v>10</v>
      </c>
      <c r="I487" s="4">
        <v>620</v>
      </c>
      <c r="J487" s="2">
        <v>96</v>
      </c>
      <c r="K487" s="2">
        <v>3</v>
      </c>
      <c r="L487" s="2">
        <v>6</v>
      </c>
      <c r="M487" s="17" t="s">
        <v>22</v>
      </c>
    </row>
    <row r="488" spans="1:13" x14ac:dyDescent="0.3">
      <c r="A488" s="16" t="s">
        <v>517</v>
      </c>
      <c r="B488" s="3">
        <v>46070</v>
      </c>
      <c r="C488" s="2" t="s">
        <v>40</v>
      </c>
      <c r="D488" s="2" t="s">
        <v>24</v>
      </c>
      <c r="E488" s="2" t="s">
        <v>10</v>
      </c>
      <c r="F488" s="2" t="s">
        <v>31</v>
      </c>
      <c r="G488" s="2">
        <v>32</v>
      </c>
      <c r="H488" s="4">
        <v>50</v>
      </c>
      <c r="I488" s="4">
        <v>1600</v>
      </c>
      <c r="J488" s="2">
        <v>74</v>
      </c>
      <c r="K488" s="2">
        <v>3</v>
      </c>
      <c r="L488" s="2">
        <v>11</v>
      </c>
      <c r="M488" s="17" t="s">
        <v>32</v>
      </c>
    </row>
    <row r="489" spans="1:13" x14ac:dyDescent="0.3">
      <c r="A489" s="16" t="s">
        <v>518</v>
      </c>
      <c r="B489" s="3">
        <v>46132</v>
      </c>
      <c r="C489" s="2" t="s">
        <v>30</v>
      </c>
      <c r="D489" s="2" t="s">
        <v>28</v>
      </c>
      <c r="E489" s="2" t="s">
        <v>10</v>
      </c>
      <c r="F489" s="2" t="s">
        <v>25</v>
      </c>
      <c r="G489" s="2">
        <v>78</v>
      </c>
      <c r="H489" s="4">
        <v>10</v>
      </c>
      <c r="I489" s="4">
        <v>780</v>
      </c>
      <c r="J489" s="2">
        <v>72</v>
      </c>
      <c r="K489" s="2">
        <v>5</v>
      </c>
      <c r="L489" s="2">
        <v>5</v>
      </c>
      <c r="M489" s="17" t="s">
        <v>22</v>
      </c>
    </row>
    <row r="490" spans="1:13" x14ac:dyDescent="0.3">
      <c r="A490" s="16" t="s">
        <v>519</v>
      </c>
      <c r="B490" s="3">
        <v>46106</v>
      </c>
      <c r="C490" s="2" t="s">
        <v>30</v>
      </c>
      <c r="D490" s="2" t="s">
        <v>9</v>
      </c>
      <c r="E490" s="2" t="s">
        <v>24</v>
      </c>
      <c r="F490" s="2" t="s">
        <v>17</v>
      </c>
      <c r="G490" s="2">
        <v>17</v>
      </c>
      <c r="H490" s="4">
        <v>10</v>
      </c>
      <c r="I490" s="4">
        <v>170</v>
      </c>
      <c r="J490" s="2">
        <v>88</v>
      </c>
      <c r="K490" s="2">
        <v>3</v>
      </c>
      <c r="L490" s="2">
        <v>5</v>
      </c>
      <c r="M490" s="17" t="s">
        <v>22</v>
      </c>
    </row>
    <row r="491" spans="1:13" x14ac:dyDescent="0.3">
      <c r="A491" s="16" t="s">
        <v>520</v>
      </c>
      <c r="B491" s="3">
        <v>46030</v>
      </c>
      <c r="C491" s="2" t="s">
        <v>8</v>
      </c>
      <c r="D491" s="2" t="s">
        <v>9</v>
      </c>
      <c r="E491" s="2" t="s">
        <v>16</v>
      </c>
      <c r="F491" s="2" t="s">
        <v>21</v>
      </c>
      <c r="G491" s="2">
        <v>55</v>
      </c>
      <c r="H491" s="4">
        <v>100</v>
      </c>
      <c r="I491" s="4">
        <v>5500</v>
      </c>
      <c r="J491" s="2">
        <v>85</v>
      </c>
      <c r="K491" s="2">
        <v>3</v>
      </c>
      <c r="L491" s="2">
        <v>9</v>
      </c>
      <c r="M491" s="17" t="s">
        <v>32</v>
      </c>
    </row>
    <row r="492" spans="1:13" x14ac:dyDescent="0.3">
      <c r="A492" s="16" t="s">
        <v>521</v>
      </c>
      <c r="B492" s="3">
        <v>46177</v>
      </c>
      <c r="C492" s="2" t="s">
        <v>8</v>
      </c>
      <c r="D492" s="2" t="s">
        <v>15</v>
      </c>
      <c r="E492" s="2" t="s">
        <v>10</v>
      </c>
      <c r="F492" s="2" t="s">
        <v>17</v>
      </c>
      <c r="G492" s="2">
        <v>86</v>
      </c>
      <c r="H492" s="4">
        <v>10</v>
      </c>
      <c r="I492" s="4">
        <v>860</v>
      </c>
      <c r="J492" s="2">
        <v>96</v>
      </c>
      <c r="K492" s="2">
        <v>2</v>
      </c>
      <c r="L492" s="2">
        <v>19</v>
      </c>
      <c r="M492" s="17" t="s">
        <v>32</v>
      </c>
    </row>
    <row r="493" spans="1:13" x14ac:dyDescent="0.3">
      <c r="A493" s="16" t="s">
        <v>522</v>
      </c>
      <c r="B493" s="3">
        <v>46136</v>
      </c>
      <c r="C493" s="2" t="s">
        <v>14</v>
      </c>
      <c r="D493" s="2" t="s">
        <v>9</v>
      </c>
      <c r="E493" s="2" t="s">
        <v>10</v>
      </c>
      <c r="F493" s="2" t="s">
        <v>11</v>
      </c>
      <c r="G493" s="2">
        <v>51</v>
      </c>
      <c r="H493" s="4">
        <v>20</v>
      </c>
      <c r="I493" s="4">
        <v>1020</v>
      </c>
      <c r="J493" s="2">
        <v>75</v>
      </c>
      <c r="K493" s="2">
        <v>4</v>
      </c>
      <c r="L493" s="2">
        <v>6</v>
      </c>
      <c r="M493" s="17" t="s">
        <v>22</v>
      </c>
    </row>
    <row r="494" spans="1:13" x14ac:dyDescent="0.3">
      <c r="A494" s="16" t="s">
        <v>523</v>
      </c>
      <c r="B494" s="3">
        <v>46191</v>
      </c>
      <c r="C494" s="2" t="s">
        <v>27</v>
      </c>
      <c r="D494" s="2" t="s">
        <v>9</v>
      </c>
      <c r="E494" s="2" t="s">
        <v>42</v>
      </c>
      <c r="F494" s="2" t="s">
        <v>11</v>
      </c>
      <c r="G494" s="2">
        <v>20</v>
      </c>
      <c r="H494" s="4">
        <v>50</v>
      </c>
      <c r="I494" s="4">
        <v>1000</v>
      </c>
      <c r="J494" s="2">
        <v>94</v>
      </c>
      <c r="K494" s="2">
        <v>4</v>
      </c>
      <c r="L494" s="2">
        <v>11</v>
      </c>
      <c r="M494" s="17" t="s">
        <v>22</v>
      </c>
    </row>
    <row r="495" spans="1:13" x14ac:dyDescent="0.3">
      <c r="A495" s="16" t="s">
        <v>524</v>
      </c>
      <c r="B495" s="3">
        <v>46045</v>
      </c>
      <c r="C495" s="2" t="s">
        <v>30</v>
      </c>
      <c r="D495" s="2" t="s">
        <v>15</v>
      </c>
      <c r="E495" s="2" t="s">
        <v>24</v>
      </c>
      <c r="F495" s="2" t="s">
        <v>21</v>
      </c>
      <c r="G495" s="2">
        <v>81</v>
      </c>
      <c r="H495" s="4">
        <v>50</v>
      </c>
      <c r="I495" s="4">
        <v>4050</v>
      </c>
      <c r="J495" s="2">
        <v>97</v>
      </c>
      <c r="K495" s="2">
        <v>2</v>
      </c>
      <c r="L495" s="2">
        <v>12</v>
      </c>
      <c r="M495" s="17" t="s">
        <v>22</v>
      </c>
    </row>
    <row r="496" spans="1:13" x14ac:dyDescent="0.3">
      <c r="A496" s="16" t="s">
        <v>525</v>
      </c>
      <c r="B496" s="3">
        <v>46106</v>
      </c>
      <c r="C496" s="2" t="s">
        <v>8</v>
      </c>
      <c r="D496" s="2" t="s">
        <v>24</v>
      </c>
      <c r="E496" s="2" t="s">
        <v>24</v>
      </c>
      <c r="F496" s="2" t="s">
        <v>17</v>
      </c>
      <c r="G496" s="2">
        <v>57</v>
      </c>
      <c r="H496" s="4">
        <v>100</v>
      </c>
      <c r="I496" s="4">
        <v>5700</v>
      </c>
      <c r="J496" s="2">
        <v>97</v>
      </c>
      <c r="K496" s="2">
        <v>5</v>
      </c>
      <c r="L496" s="2">
        <v>16</v>
      </c>
      <c r="M496" s="17" t="s">
        <v>22</v>
      </c>
    </row>
    <row r="497" spans="1:13" x14ac:dyDescent="0.3">
      <c r="A497" s="16" t="s">
        <v>526</v>
      </c>
      <c r="B497" s="3">
        <v>46183</v>
      </c>
      <c r="C497" s="2" t="s">
        <v>30</v>
      </c>
      <c r="D497" s="2" t="s">
        <v>15</v>
      </c>
      <c r="E497" s="2" t="s">
        <v>20</v>
      </c>
      <c r="F497" s="2" t="s">
        <v>25</v>
      </c>
      <c r="G497" s="2">
        <v>8</v>
      </c>
      <c r="H497" s="4">
        <v>20</v>
      </c>
      <c r="I497" s="4">
        <v>160</v>
      </c>
      <c r="J497" s="2">
        <v>79</v>
      </c>
      <c r="K497" s="2">
        <v>3</v>
      </c>
      <c r="L497" s="2">
        <v>19</v>
      </c>
      <c r="M497" s="17" t="s">
        <v>22</v>
      </c>
    </row>
    <row r="498" spans="1:13" x14ac:dyDescent="0.3">
      <c r="A498" s="16" t="s">
        <v>527</v>
      </c>
      <c r="B498" s="3">
        <v>46178</v>
      </c>
      <c r="C498" s="2" t="s">
        <v>27</v>
      </c>
      <c r="D498" s="2" t="s">
        <v>19</v>
      </c>
      <c r="E498" s="2" t="s">
        <v>16</v>
      </c>
      <c r="F498" s="2" t="s">
        <v>25</v>
      </c>
      <c r="G498" s="2">
        <v>98</v>
      </c>
      <c r="H498" s="4">
        <v>20</v>
      </c>
      <c r="I498" s="4">
        <v>1960</v>
      </c>
      <c r="J498" s="2">
        <v>87</v>
      </c>
      <c r="K498" s="2">
        <v>3</v>
      </c>
      <c r="L498" s="2">
        <v>18</v>
      </c>
      <c r="M498" s="17" t="s">
        <v>22</v>
      </c>
    </row>
    <row r="499" spans="1:13" x14ac:dyDescent="0.3">
      <c r="A499" s="16" t="s">
        <v>528</v>
      </c>
      <c r="B499" s="3">
        <v>46081</v>
      </c>
      <c r="C499" s="2" t="s">
        <v>14</v>
      </c>
      <c r="D499" s="2" t="s">
        <v>28</v>
      </c>
      <c r="E499" s="2" t="s">
        <v>16</v>
      </c>
      <c r="F499" s="2" t="s">
        <v>31</v>
      </c>
      <c r="G499" s="2">
        <v>84</v>
      </c>
      <c r="H499" s="4">
        <v>5</v>
      </c>
      <c r="I499" s="4">
        <v>420</v>
      </c>
      <c r="J499" s="2">
        <v>97</v>
      </c>
      <c r="K499" s="2">
        <v>5</v>
      </c>
      <c r="L499" s="2">
        <v>6</v>
      </c>
      <c r="M499" s="17" t="s">
        <v>22</v>
      </c>
    </row>
    <row r="500" spans="1:13" x14ac:dyDescent="0.3">
      <c r="A500" s="16" t="s">
        <v>529</v>
      </c>
      <c r="B500" s="3">
        <v>46180</v>
      </c>
      <c r="C500" s="2" t="s">
        <v>35</v>
      </c>
      <c r="D500" s="2" t="s">
        <v>9</v>
      </c>
      <c r="E500" s="2" t="s">
        <v>24</v>
      </c>
      <c r="F500" s="2" t="s">
        <v>17</v>
      </c>
      <c r="G500" s="2">
        <v>34</v>
      </c>
      <c r="H500" s="4">
        <v>10</v>
      </c>
      <c r="I500" s="4">
        <v>340</v>
      </c>
      <c r="J500" s="2">
        <v>76</v>
      </c>
      <c r="K500" s="2">
        <v>4</v>
      </c>
      <c r="L500" s="2">
        <v>7</v>
      </c>
      <c r="M500" s="17" t="s">
        <v>22</v>
      </c>
    </row>
    <row r="501" spans="1:13" x14ac:dyDescent="0.3">
      <c r="A501" s="16" t="s">
        <v>530</v>
      </c>
      <c r="B501" s="3">
        <v>46041</v>
      </c>
      <c r="C501" s="2" t="s">
        <v>8</v>
      </c>
      <c r="D501" s="2" t="s">
        <v>9</v>
      </c>
      <c r="E501" s="2" t="s">
        <v>42</v>
      </c>
      <c r="F501" s="2" t="s">
        <v>17</v>
      </c>
      <c r="G501" s="2">
        <v>39</v>
      </c>
      <c r="H501" s="4">
        <v>50</v>
      </c>
      <c r="I501" s="4">
        <v>1950</v>
      </c>
      <c r="J501" s="2">
        <v>82</v>
      </c>
      <c r="K501" s="2">
        <v>2</v>
      </c>
      <c r="L501" s="2">
        <v>2</v>
      </c>
      <c r="M501" s="17" t="s">
        <v>12</v>
      </c>
    </row>
    <row r="502" spans="1:13" x14ac:dyDescent="0.3">
      <c r="A502" s="16" t="s">
        <v>531</v>
      </c>
      <c r="B502" s="3">
        <v>46137</v>
      </c>
      <c r="C502" s="2" t="s">
        <v>14</v>
      </c>
      <c r="D502" s="2" t="s">
        <v>9</v>
      </c>
      <c r="E502" s="2" t="s">
        <v>10</v>
      </c>
      <c r="F502" s="2" t="s">
        <v>17</v>
      </c>
      <c r="G502" s="2">
        <v>63</v>
      </c>
      <c r="H502" s="4">
        <v>20</v>
      </c>
      <c r="I502" s="4">
        <v>1260</v>
      </c>
      <c r="J502" s="2">
        <v>74</v>
      </c>
      <c r="K502" s="2">
        <v>3</v>
      </c>
      <c r="L502" s="2">
        <v>15</v>
      </c>
      <c r="M502" s="17" t="s">
        <v>22</v>
      </c>
    </row>
    <row r="503" spans="1:13" x14ac:dyDescent="0.3">
      <c r="A503" s="16" t="s">
        <v>532</v>
      </c>
      <c r="B503" s="3">
        <v>46060</v>
      </c>
      <c r="C503" s="2" t="s">
        <v>27</v>
      </c>
      <c r="D503" s="2" t="s">
        <v>24</v>
      </c>
      <c r="E503" s="2" t="s">
        <v>20</v>
      </c>
      <c r="F503" s="2" t="s">
        <v>17</v>
      </c>
      <c r="G503" s="2">
        <v>5</v>
      </c>
      <c r="H503" s="4">
        <v>50</v>
      </c>
      <c r="I503" s="4">
        <v>250</v>
      </c>
      <c r="J503" s="2">
        <v>77</v>
      </c>
      <c r="K503" s="2">
        <v>4</v>
      </c>
      <c r="L503" s="2">
        <v>9</v>
      </c>
      <c r="M503" s="17" t="s">
        <v>22</v>
      </c>
    </row>
    <row r="504" spans="1:13" x14ac:dyDescent="0.3">
      <c r="A504" s="16" t="s">
        <v>533</v>
      </c>
      <c r="B504" s="3">
        <v>46167</v>
      </c>
      <c r="C504" s="2" t="s">
        <v>40</v>
      </c>
      <c r="D504" s="2" t="s">
        <v>15</v>
      </c>
      <c r="E504" s="2" t="s">
        <v>20</v>
      </c>
      <c r="F504" s="2" t="s">
        <v>31</v>
      </c>
      <c r="G504" s="2">
        <v>39</v>
      </c>
      <c r="H504" s="4">
        <v>5</v>
      </c>
      <c r="I504" s="4">
        <v>195</v>
      </c>
      <c r="J504" s="2">
        <v>97</v>
      </c>
      <c r="K504" s="2">
        <v>3</v>
      </c>
      <c r="L504" s="2">
        <v>10</v>
      </c>
      <c r="M504" s="17" t="s">
        <v>22</v>
      </c>
    </row>
    <row r="505" spans="1:13" x14ac:dyDescent="0.3">
      <c r="A505" s="16" t="s">
        <v>534</v>
      </c>
      <c r="B505" s="3">
        <v>46047</v>
      </c>
      <c r="C505" s="2" t="s">
        <v>35</v>
      </c>
      <c r="D505" s="2" t="s">
        <v>15</v>
      </c>
      <c r="E505" s="2" t="s">
        <v>24</v>
      </c>
      <c r="F505" s="2" t="s">
        <v>11</v>
      </c>
      <c r="G505" s="2">
        <v>22</v>
      </c>
      <c r="H505" s="4">
        <v>100</v>
      </c>
      <c r="I505" s="4">
        <v>2200</v>
      </c>
      <c r="J505" s="2">
        <v>90</v>
      </c>
      <c r="K505" s="2">
        <v>5</v>
      </c>
      <c r="L505" s="2">
        <v>7</v>
      </c>
      <c r="M505" s="17" t="s">
        <v>22</v>
      </c>
    </row>
    <row r="506" spans="1:13" x14ac:dyDescent="0.3">
      <c r="A506" s="16" t="s">
        <v>535</v>
      </c>
      <c r="B506" s="3">
        <v>46187</v>
      </c>
      <c r="C506" s="2" t="s">
        <v>35</v>
      </c>
      <c r="D506" s="2" t="s">
        <v>9</v>
      </c>
      <c r="E506" s="2" t="s">
        <v>20</v>
      </c>
      <c r="F506" s="2" t="s">
        <v>11</v>
      </c>
      <c r="G506" s="2">
        <v>73</v>
      </c>
      <c r="H506" s="4">
        <v>100</v>
      </c>
      <c r="I506" s="4">
        <v>7300</v>
      </c>
      <c r="J506" s="2">
        <v>86</v>
      </c>
      <c r="K506" s="2">
        <v>4</v>
      </c>
      <c r="L506" s="2">
        <v>12</v>
      </c>
      <c r="M506" s="17" t="s">
        <v>22</v>
      </c>
    </row>
    <row r="507" spans="1:13" x14ac:dyDescent="0.3">
      <c r="A507" s="16" t="s">
        <v>536</v>
      </c>
      <c r="B507" s="3">
        <v>46115</v>
      </c>
      <c r="C507" s="2" t="s">
        <v>30</v>
      </c>
      <c r="D507" s="2" t="s">
        <v>28</v>
      </c>
      <c r="E507" s="2" t="s">
        <v>42</v>
      </c>
      <c r="F507" s="2" t="s">
        <v>31</v>
      </c>
      <c r="G507" s="2">
        <v>67</v>
      </c>
      <c r="H507" s="4">
        <v>50</v>
      </c>
      <c r="I507" s="4">
        <v>3350</v>
      </c>
      <c r="J507" s="2">
        <v>79</v>
      </c>
      <c r="K507" s="2">
        <v>5</v>
      </c>
      <c r="L507" s="2">
        <v>18</v>
      </c>
      <c r="M507" s="17" t="s">
        <v>22</v>
      </c>
    </row>
    <row r="508" spans="1:13" x14ac:dyDescent="0.3">
      <c r="A508" s="16" t="s">
        <v>537</v>
      </c>
      <c r="B508" s="3">
        <v>46085</v>
      </c>
      <c r="C508" s="2" t="s">
        <v>30</v>
      </c>
      <c r="D508" s="2" t="s">
        <v>24</v>
      </c>
      <c r="E508" s="2" t="s">
        <v>16</v>
      </c>
      <c r="F508" s="2" t="s">
        <v>17</v>
      </c>
      <c r="G508" s="2">
        <v>62</v>
      </c>
      <c r="H508" s="4">
        <v>20</v>
      </c>
      <c r="I508" s="4">
        <v>1240</v>
      </c>
      <c r="J508" s="2">
        <v>80</v>
      </c>
      <c r="K508" s="2">
        <v>5</v>
      </c>
      <c r="L508" s="2">
        <v>14</v>
      </c>
      <c r="M508" s="17" t="s">
        <v>22</v>
      </c>
    </row>
    <row r="509" spans="1:13" x14ac:dyDescent="0.3">
      <c r="A509" s="16" t="s">
        <v>538</v>
      </c>
      <c r="B509" s="3">
        <v>46050</v>
      </c>
      <c r="C509" s="2" t="s">
        <v>14</v>
      </c>
      <c r="D509" s="2" t="s">
        <v>15</v>
      </c>
      <c r="E509" s="2" t="s">
        <v>42</v>
      </c>
      <c r="F509" s="2" t="s">
        <v>31</v>
      </c>
      <c r="G509" s="2">
        <v>13</v>
      </c>
      <c r="H509" s="4">
        <v>5</v>
      </c>
      <c r="I509" s="4">
        <v>65</v>
      </c>
      <c r="J509" s="2">
        <v>75</v>
      </c>
      <c r="K509" s="2">
        <v>2</v>
      </c>
      <c r="L509" s="2">
        <v>10</v>
      </c>
      <c r="M509" s="17" t="s">
        <v>22</v>
      </c>
    </row>
    <row r="510" spans="1:13" x14ac:dyDescent="0.3">
      <c r="A510" s="16" t="s">
        <v>539</v>
      </c>
      <c r="B510" s="3">
        <v>46198</v>
      </c>
      <c r="C510" s="2" t="s">
        <v>27</v>
      </c>
      <c r="D510" s="2" t="s">
        <v>28</v>
      </c>
      <c r="E510" s="2" t="s">
        <v>24</v>
      </c>
      <c r="F510" s="2" t="s">
        <v>11</v>
      </c>
      <c r="G510" s="2">
        <v>6</v>
      </c>
      <c r="H510" s="4">
        <v>10</v>
      </c>
      <c r="I510" s="4">
        <v>60</v>
      </c>
      <c r="J510" s="2">
        <v>80</v>
      </c>
      <c r="K510" s="2">
        <v>5</v>
      </c>
      <c r="L510" s="2">
        <v>14</v>
      </c>
      <c r="M510" s="17" t="s">
        <v>22</v>
      </c>
    </row>
    <row r="511" spans="1:13" x14ac:dyDescent="0.3">
      <c r="A511" s="16" t="s">
        <v>540</v>
      </c>
      <c r="B511" s="3">
        <v>46068</v>
      </c>
      <c r="C511" s="2" t="s">
        <v>27</v>
      </c>
      <c r="D511" s="2" t="s">
        <v>24</v>
      </c>
      <c r="E511" s="2" t="s">
        <v>16</v>
      </c>
      <c r="F511" s="2" t="s">
        <v>17</v>
      </c>
      <c r="G511" s="2">
        <v>59</v>
      </c>
      <c r="H511" s="4">
        <v>5</v>
      </c>
      <c r="I511" s="4">
        <v>295</v>
      </c>
      <c r="J511" s="2">
        <v>98</v>
      </c>
      <c r="K511" s="2">
        <v>4</v>
      </c>
      <c r="L511" s="2">
        <v>14</v>
      </c>
      <c r="M511" s="17" t="s">
        <v>22</v>
      </c>
    </row>
    <row r="512" spans="1:13" x14ac:dyDescent="0.3">
      <c r="A512" s="16" t="s">
        <v>541</v>
      </c>
      <c r="B512" s="3">
        <v>46181</v>
      </c>
      <c r="C512" s="2" t="s">
        <v>30</v>
      </c>
      <c r="D512" s="2" t="s">
        <v>24</v>
      </c>
      <c r="E512" s="2" t="s">
        <v>24</v>
      </c>
      <c r="F512" s="2" t="s">
        <v>25</v>
      </c>
      <c r="G512" s="2">
        <v>40</v>
      </c>
      <c r="H512" s="4">
        <v>50</v>
      </c>
      <c r="I512" s="4">
        <v>2000</v>
      </c>
      <c r="J512" s="2">
        <v>96</v>
      </c>
      <c r="K512" s="2">
        <v>3</v>
      </c>
      <c r="L512" s="2">
        <v>8</v>
      </c>
      <c r="M512" s="17" t="s">
        <v>12</v>
      </c>
    </row>
    <row r="513" spans="1:13" x14ac:dyDescent="0.3">
      <c r="A513" s="16" t="s">
        <v>542</v>
      </c>
      <c r="B513" s="3">
        <v>46177</v>
      </c>
      <c r="C513" s="2" t="s">
        <v>40</v>
      </c>
      <c r="D513" s="2" t="s">
        <v>19</v>
      </c>
      <c r="E513" s="2" t="s">
        <v>24</v>
      </c>
      <c r="F513" s="2" t="s">
        <v>17</v>
      </c>
      <c r="G513" s="2">
        <v>20</v>
      </c>
      <c r="H513" s="4">
        <v>50</v>
      </c>
      <c r="I513" s="4">
        <v>1000</v>
      </c>
      <c r="J513" s="2">
        <v>90</v>
      </c>
      <c r="K513" s="2">
        <v>3</v>
      </c>
      <c r="L513" s="2">
        <v>14</v>
      </c>
      <c r="M513" s="17" t="s">
        <v>22</v>
      </c>
    </row>
    <row r="514" spans="1:13" x14ac:dyDescent="0.3">
      <c r="A514" s="16" t="s">
        <v>543</v>
      </c>
      <c r="B514" s="3">
        <v>46151</v>
      </c>
      <c r="C514" s="2" t="s">
        <v>40</v>
      </c>
      <c r="D514" s="2" t="s">
        <v>19</v>
      </c>
      <c r="E514" s="2" t="s">
        <v>10</v>
      </c>
      <c r="F514" s="2" t="s">
        <v>21</v>
      </c>
      <c r="G514" s="2">
        <v>39</v>
      </c>
      <c r="H514" s="4">
        <v>10</v>
      </c>
      <c r="I514" s="4">
        <v>390</v>
      </c>
      <c r="J514" s="2">
        <v>92</v>
      </c>
      <c r="K514" s="2">
        <v>4</v>
      </c>
      <c r="L514" s="2">
        <v>16</v>
      </c>
      <c r="M514" s="17" t="s">
        <v>22</v>
      </c>
    </row>
    <row r="515" spans="1:13" x14ac:dyDescent="0.3">
      <c r="A515" s="16" t="s">
        <v>544</v>
      </c>
      <c r="B515" s="3">
        <v>46155</v>
      </c>
      <c r="C515" s="2" t="s">
        <v>27</v>
      </c>
      <c r="D515" s="2" t="s">
        <v>19</v>
      </c>
      <c r="E515" s="2" t="s">
        <v>24</v>
      </c>
      <c r="F515" s="2" t="s">
        <v>11</v>
      </c>
      <c r="G515" s="2">
        <v>63</v>
      </c>
      <c r="H515" s="4">
        <v>20</v>
      </c>
      <c r="I515" s="4">
        <v>1260</v>
      </c>
      <c r="J515" s="2">
        <v>86</v>
      </c>
      <c r="K515" s="2">
        <v>4</v>
      </c>
      <c r="L515" s="2">
        <v>20</v>
      </c>
      <c r="M515" s="17" t="s">
        <v>22</v>
      </c>
    </row>
    <row r="516" spans="1:13" x14ac:dyDescent="0.3">
      <c r="A516" s="16" t="s">
        <v>545</v>
      </c>
      <c r="B516" s="3">
        <v>46070</v>
      </c>
      <c r="C516" s="2" t="s">
        <v>14</v>
      </c>
      <c r="D516" s="2" t="s">
        <v>24</v>
      </c>
      <c r="E516" s="2" t="s">
        <v>16</v>
      </c>
      <c r="F516" s="2" t="s">
        <v>25</v>
      </c>
      <c r="G516" s="2">
        <v>31</v>
      </c>
      <c r="H516" s="4">
        <v>20</v>
      </c>
      <c r="I516" s="4">
        <v>620</v>
      </c>
      <c r="J516" s="2">
        <v>98</v>
      </c>
      <c r="K516" s="2">
        <v>5</v>
      </c>
      <c r="L516" s="2">
        <v>15</v>
      </c>
      <c r="M516" s="17" t="s">
        <v>32</v>
      </c>
    </row>
    <row r="517" spans="1:13" x14ac:dyDescent="0.3">
      <c r="A517" s="16" t="s">
        <v>546</v>
      </c>
      <c r="B517" s="3">
        <v>46071</v>
      </c>
      <c r="C517" s="2" t="s">
        <v>35</v>
      </c>
      <c r="D517" s="2" t="s">
        <v>9</v>
      </c>
      <c r="E517" s="2" t="s">
        <v>24</v>
      </c>
      <c r="F517" s="2" t="s">
        <v>25</v>
      </c>
      <c r="G517" s="2">
        <v>70</v>
      </c>
      <c r="H517" s="4">
        <v>10</v>
      </c>
      <c r="I517" s="4">
        <v>700</v>
      </c>
      <c r="J517" s="2">
        <v>100</v>
      </c>
      <c r="K517" s="2">
        <v>3</v>
      </c>
      <c r="L517" s="2">
        <v>11</v>
      </c>
      <c r="M517" s="17" t="s">
        <v>22</v>
      </c>
    </row>
    <row r="518" spans="1:13" x14ac:dyDescent="0.3">
      <c r="A518" s="16" t="s">
        <v>547</v>
      </c>
      <c r="B518" s="3">
        <v>46175</v>
      </c>
      <c r="C518" s="2" t="s">
        <v>14</v>
      </c>
      <c r="D518" s="2" t="s">
        <v>9</v>
      </c>
      <c r="E518" s="2" t="s">
        <v>10</v>
      </c>
      <c r="F518" s="2" t="s">
        <v>25</v>
      </c>
      <c r="G518" s="2">
        <v>89</v>
      </c>
      <c r="H518" s="4">
        <v>100</v>
      </c>
      <c r="I518" s="4">
        <v>8900</v>
      </c>
      <c r="J518" s="2">
        <v>89</v>
      </c>
      <c r="K518" s="2">
        <v>4</v>
      </c>
      <c r="L518" s="2">
        <v>15</v>
      </c>
      <c r="M518" s="17" t="s">
        <v>22</v>
      </c>
    </row>
    <row r="519" spans="1:13" x14ac:dyDescent="0.3">
      <c r="A519" s="16" t="s">
        <v>548</v>
      </c>
      <c r="B519" s="3">
        <v>46070</v>
      </c>
      <c r="C519" s="2" t="s">
        <v>40</v>
      </c>
      <c r="D519" s="2" t="s">
        <v>9</v>
      </c>
      <c r="E519" s="2" t="s">
        <v>10</v>
      </c>
      <c r="F519" s="2" t="s">
        <v>21</v>
      </c>
      <c r="G519" s="2">
        <v>35</v>
      </c>
      <c r="H519" s="4">
        <v>50</v>
      </c>
      <c r="I519" s="4">
        <v>1750</v>
      </c>
      <c r="J519" s="2">
        <v>74</v>
      </c>
      <c r="K519" s="2">
        <v>2</v>
      </c>
      <c r="L519" s="2">
        <v>18</v>
      </c>
      <c r="M519" s="17" t="s">
        <v>32</v>
      </c>
    </row>
    <row r="520" spans="1:13" x14ac:dyDescent="0.3">
      <c r="A520" s="16" t="s">
        <v>549</v>
      </c>
      <c r="B520" s="3">
        <v>46174</v>
      </c>
      <c r="C520" s="2" t="s">
        <v>35</v>
      </c>
      <c r="D520" s="2" t="s">
        <v>19</v>
      </c>
      <c r="E520" s="2" t="s">
        <v>16</v>
      </c>
      <c r="F520" s="2" t="s">
        <v>21</v>
      </c>
      <c r="G520" s="2">
        <v>13</v>
      </c>
      <c r="H520" s="4">
        <v>50</v>
      </c>
      <c r="I520" s="4">
        <v>650</v>
      </c>
      <c r="J520" s="2">
        <v>72</v>
      </c>
      <c r="K520" s="2">
        <v>4</v>
      </c>
      <c r="L520" s="2">
        <v>16</v>
      </c>
      <c r="M520" s="17" t="s">
        <v>12</v>
      </c>
    </row>
    <row r="521" spans="1:13" x14ac:dyDescent="0.3">
      <c r="A521" s="16" t="s">
        <v>550</v>
      </c>
      <c r="B521" s="3">
        <v>46125</v>
      </c>
      <c r="C521" s="2" t="s">
        <v>8</v>
      </c>
      <c r="D521" s="2" t="s">
        <v>24</v>
      </c>
      <c r="E521" s="2" t="s">
        <v>42</v>
      </c>
      <c r="F521" s="2" t="s">
        <v>21</v>
      </c>
      <c r="G521" s="2">
        <v>48</v>
      </c>
      <c r="H521" s="4">
        <v>250</v>
      </c>
      <c r="I521" s="4">
        <v>12000</v>
      </c>
      <c r="J521" s="2">
        <v>90</v>
      </c>
      <c r="K521" s="2">
        <v>3</v>
      </c>
      <c r="L521" s="2">
        <v>18</v>
      </c>
      <c r="M521" s="17" t="s">
        <v>22</v>
      </c>
    </row>
    <row r="522" spans="1:13" x14ac:dyDescent="0.3">
      <c r="A522" s="16" t="s">
        <v>551</v>
      </c>
      <c r="B522" s="3">
        <v>46133</v>
      </c>
      <c r="C522" s="2" t="s">
        <v>14</v>
      </c>
      <c r="D522" s="2" t="s">
        <v>24</v>
      </c>
      <c r="E522" s="2" t="s">
        <v>10</v>
      </c>
      <c r="F522" s="2" t="s">
        <v>17</v>
      </c>
      <c r="G522" s="2">
        <v>50</v>
      </c>
      <c r="H522" s="4">
        <v>10</v>
      </c>
      <c r="I522" s="4">
        <v>500</v>
      </c>
      <c r="J522" s="2">
        <v>89</v>
      </c>
      <c r="K522" s="2">
        <v>2</v>
      </c>
      <c r="L522" s="2">
        <v>8</v>
      </c>
      <c r="M522" s="17" t="s">
        <v>22</v>
      </c>
    </row>
    <row r="523" spans="1:13" x14ac:dyDescent="0.3">
      <c r="A523" s="16" t="s">
        <v>552</v>
      </c>
      <c r="B523" s="3">
        <v>46135</v>
      </c>
      <c r="C523" s="2" t="s">
        <v>8</v>
      </c>
      <c r="D523" s="2" t="s">
        <v>28</v>
      </c>
      <c r="E523" s="2" t="s">
        <v>10</v>
      </c>
      <c r="F523" s="2" t="s">
        <v>31</v>
      </c>
      <c r="G523" s="2">
        <v>80</v>
      </c>
      <c r="H523" s="4">
        <v>250</v>
      </c>
      <c r="I523" s="4">
        <v>20000</v>
      </c>
      <c r="J523" s="2">
        <v>73</v>
      </c>
      <c r="K523" s="2">
        <v>4</v>
      </c>
      <c r="L523" s="2">
        <v>10</v>
      </c>
      <c r="M523" s="17" t="s">
        <v>32</v>
      </c>
    </row>
    <row r="524" spans="1:13" x14ac:dyDescent="0.3">
      <c r="A524" s="16" t="s">
        <v>553</v>
      </c>
      <c r="B524" s="3">
        <v>46174</v>
      </c>
      <c r="C524" s="2" t="s">
        <v>27</v>
      </c>
      <c r="D524" s="2" t="s">
        <v>24</v>
      </c>
      <c r="E524" s="2" t="s">
        <v>42</v>
      </c>
      <c r="F524" s="2" t="s">
        <v>11</v>
      </c>
      <c r="G524" s="2">
        <v>100</v>
      </c>
      <c r="H524" s="4">
        <v>10</v>
      </c>
      <c r="I524" s="4">
        <v>1000</v>
      </c>
      <c r="J524" s="2">
        <v>97</v>
      </c>
      <c r="K524" s="2">
        <v>4</v>
      </c>
      <c r="L524" s="2">
        <v>9</v>
      </c>
      <c r="M524" s="17" t="s">
        <v>22</v>
      </c>
    </row>
    <row r="525" spans="1:13" x14ac:dyDescent="0.3">
      <c r="A525" s="16" t="s">
        <v>554</v>
      </c>
      <c r="B525" s="3">
        <v>46096</v>
      </c>
      <c r="C525" s="2" t="s">
        <v>35</v>
      </c>
      <c r="D525" s="2" t="s">
        <v>9</v>
      </c>
      <c r="E525" s="2" t="s">
        <v>42</v>
      </c>
      <c r="F525" s="2" t="s">
        <v>25</v>
      </c>
      <c r="G525" s="2">
        <v>26</v>
      </c>
      <c r="H525" s="4">
        <v>5</v>
      </c>
      <c r="I525" s="4">
        <v>130</v>
      </c>
      <c r="J525" s="2">
        <v>77</v>
      </c>
      <c r="K525" s="2">
        <v>4</v>
      </c>
      <c r="L525" s="2">
        <v>18</v>
      </c>
      <c r="M525" s="17" t="s">
        <v>22</v>
      </c>
    </row>
    <row r="526" spans="1:13" x14ac:dyDescent="0.3">
      <c r="A526" s="16" t="s">
        <v>555</v>
      </c>
      <c r="B526" s="3">
        <v>46168</v>
      </c>
      <c r="C526" s="2" t="s">
        <v>35</v>
      </c>
      <c r="D526" s="2" t="s">
        <v>24</v>
      </c>
      <c r="E526" s="2" t="s">
        <v>16</v>
      </c>
      <c r="F526" s="2" t="s">
        <v>11</v>
      </c>
      <c r="G526" s="2">
        <v>48</v>
      </c>
      <c r="H526" s="4">
        <v>5</v>
      </c>
      <c r="I526" s="4">
        <v>240</v>
      </c>
      <c r="J526" s="2">
        <v>84</v>
      </c>
      <c r="K526" s="2">
        <v>3</v>
      </c>
      <c r="L526" s="2">
        <v>19</v>
      </c>
      <c r="M526" s="17" t="s">
        <v>22</v>
      </c>
    </row>
    <row r="527" spans="1:13" x14ac:dyDescent="0.3">
      <c r="A527" s="16" t="s">
        <v>556</v>
      </c>
      <c r="B527" s="3">
        <v>46135</v>
      </c>
      <c r="C527" s="2" t="s">
        <v>35</v>
      </c>
      <c r="D527" s="2" t="s">
        <v>28</v>
      </c>
      <c r="E527" s="2" t="s">
        <v>10</v>
      </c>
      <c r="F527" s="2" t="s">
        <v>17</v>
      </c>
      <c r="G527" s="2">
        <v>38</v>
      </c>
      <c r="H527" s="4">
        <v>20</v>
      </c>
      <c r="I527" s="4">
        <v>760</v>
      </c>
      <c r="J527" s="2">
        <v>76</v>
      </c>
      <c r="K527" s="2">
        <v>5</v>
      </c>
      <c r="L527" s="2">
        <v>2</v>
      </c>
      <c r="M527" s="17" t="s">
        <v>22</v>
      </c>
    </row>
    <row r="528" spans="1:13" x14ac:dyDescent="0.3">
      <c r="A528" s="16" t="s">
        <v>557</v>
      </c>
      <c r="B528" s="3">
        <v>46159</v>
      </c>
      <c r="C528" s="2" t="s">
        <v>8</v>
      </c>
      <c r="D528" s="2" t="s">
        <v>19</v>
      </c>
      <c r="E528" s="2" t="s">
        <v>16</v>
      </c>
      <c r="F528" s="2" t="s">
        <v>21</v>
      </c>
      <c r="G528" s="2">
        <v>2</v>
      </c>
      <c r="H528" s="4">
        <v>100</v>
      </c>
      <c r="I528" s="4">
        <v>200</v>
      </c>
      <c r="J528" s="2">
        <v>88</v>
      </c>
      <c r="K528" s="2">
        <v>2</v>
      </c>
      <c r="L528" s="2">
        <v>7</v>
      </c>
      <c r="M528" s="17" t="s">
        <v>22</v>
      </c>
    </row>
    <row r="529" spans="1:13" x14ac:dyDescent="0.3">
      <c r="A529" s="16" t="s">
        <v>558</v>
      </c>
      <c r="B529" s="3">
        <v>46136</v>
      </c>
      <c r="C529" s="2" t="s">
        <v>40</v>
      </c>
      <c r="D529" s="2" t="s">
        <v>28</v>
      </c>
      <c r="E529" s="2" t="s">
        <v>24</v>
      </c>
      <c r="F529" s="2" t="s">
        <v>31</v>
      </c>
      <c r="G529" s="2">
        <v>4</v>
      </c>
      <c r="H529" s="4">
        <v>250</v>
      </c>
      <c r="I529" s="4">
        <v>1000</v>
      </c>
      <c r="J529" s="2">
        <v>76</v>
      </c>
      <c r="K529" s="2">
        <v>4</v>
      </c>
      <c r="L529" s="2">
        <v>15</v>
      </c>
      <c r="M529" s="17" t="s">
        <v>22</v>
      </c>
    </row>
    <row r="530" spans="1:13" x14ac:dyDescent="0.3">
      <c r="A530" s="16" t="s">
        <v>559</v>
      </c>
      <c r="B530" s="3">
        <v>46090</v>
      </c>
      <c r="C530" s="2" t="s">
        <v>40</v>
      </c>
      <c r="D530" s="2" t="s">
        <v>19</v>
      </c>
      <c r="E530" s="2" t="s">
        <v>16</v>
      </c>
      <c r="F530" s="2" t="s">
        <v>17</v>
      </c>
      <c r="G530" s="2">
        <v>42</v>
      </c>
      <c r="H530" s="4">
        <v>10</v>
      </c>
      <c r="I530" s="4">
        <v>420</v>
      </c>
      <c r="J530" s="2">
        <v>96</v>
      </c>
      <c r="K530" s="2">
        <v>3</v>
      </c>
      <c r="L530" s="2">
        <v>20</v>
      </c>
      <c r="M530" s="17" t="s">
        <v>22</v>
      </c>
    </row>
    <row r="531" spans="1:13" x14ac:dyDescent="0.3">
      <c r="A531" s="16" t="s">
        <v>560</v>
      </c>
      <c r="B531" s="3">
        <v>46035</v>
      </c>
      <c r="C531" s="2" t="s">
        <v>14</v>
      </c>
      <c r="D531" s="2" t="s">
        <v>24</v>
      </c>
      <c r="E531" s="2" t="s">
        <v>24</v>
      </c>
      <c r="F531" s="2" t="s">
        <v>17</v>
      </c>
      <c r="G531" s="2">
        <v>37</v>
      </c>
      <c r="H531" s="4">
        <v>100</v>
      </c>
      <c r="I531" s="4">
        <v>3700</v>
      </c>
      <c r="J531" s="2">
        <v>72</v>
      </c>
      <c r="K531" s="2">
        <v>5</v>
      </c>
      <c r="L531" s="2">
        <v>19</v>
      </c>
      <c r="M531" s="17" t="s">
        <v>22</v>
      </c>
    </row>
    <row r="532" spans="1:13" x14ac:dyDescent="0.3">
      <c r="A532" s="16" t="s">
        <v>561</v>
      </c>
      <c r="B532" s="3">
        <v>46143</v>
      </c>
      <c r="C532" s="2" t="s">
        <v>14</v>
      </c>
      <c r="D532" s="2" t="s">
        <v>19</v>
      </c>
      <c r="E532" s="2" t="s">
        <v>42</v>
      </c>
      <c r="F532" s="2" t="s">
        <v>21</v>
      </c>
      <c r="G532" s="2">
        <v>53</v>
      </c>
      <c r="H532" s="4">
        <v>50</v>
      </c>
      <c r="I532" s="4">
        <v>2650</v>
      </c>
      <c r="J532" s="2">
        <v>98</v>
      </c>
      <c r="K532" s="2">
        <v>4</v>
      </c>
      <c r="L532" s="2">
        <v>7</v>
      </c>
      <c r="M532" s="17" t="s">
        <v>32</v>
      </c>
    </row>
    <row r="533" spans="1:13" x14ac:dyDescent="0.3">
      <c r="A533" s="16" t="s">
        <v>562</v>
      </c>
      <c r="B533" s="3">
        <v>46041</v>
      </c>
      <c r="C533" s="2" t="s">
        <v>27</v>
      </c>
      <c r="D533" s="2" t="s">
        <v>19</v>
      </c>
      <c r="E533" s="2" t="s">
        <v>42</v>
      </c>
      <c r="F533" s="2" t="s">
        <v>17</v>
      </c>
      <c r="G533" s="2">
        <v>1</v>
      </c>
      <c r="H533" s="4">
        <v>5</v>
      </c>
      <c r="I533" s="4">
        <v>5</v>
      </c>
      <c r="J533" s="2">
        <v>81</v>
      </c>
      <c r="K533" s="2">
        <v>5</v>
      </c>
      <c r="L533" s="2">
        <v>16</v>
      </c>
      <c r="M533" s="17" t="s">
        <v>32</v>
      </c>
    </row>
    <row r="534" spans="1:13" x14ac:dyDescent="0.3">
      <c r="A534" s="16" t="s">
        <v>563</v>
      </c>
      <c r="B534" s="3">
        <v>46196</v>
      </c>
      <c r="C534" s="2" t="s">
        <v>14</v>
      </c>
      <c r="D534" s="2" t="s">
        <v>15</v>
      </c>
      <c r="E534" s="2" t="s">
        <v>24</v>
      </c>
      <c r="F534" s="2" t="s">
        <v>31</v>
      </c>
      <c r="G534" s="2">
        <v>17</v>
      </c>
      <c r="H534" s="4">
        <v>20</v>
      </c>
      <c r="I534" s="4">
        <v>340</v>
      </c>
      <c r="J534" s="2">
        <v>75</v>
      </c>
      <c r="K534" s="2">
        <v>4</v>
      </c>
      <c r="L534" s="2">
        <v>14</v>
      </c>
      <c r="M534" s="17" t="s">
        <v>22</v>
      </c>
    </row>
    <row r="535" spans="1:13" x14ac:dyDescent="0.3">
      <c r="A535" s="16" t="s">
        <v>564</v>
      </c>
      <c r="B535" s="3">
        <v>46029</v>
      </c>
      <c r="C535" s="2" t="s">
        <v>8</v>
      </c>
      <c r="D535" s="2" t="s">
        <v>9</v>
      </c>
      <c r="E535" s="2" t="s">
        <v>10</v>
      </c>
      <c r="F535" s="2" t="s">
        <v>25</v>
      </c>
      <c r="G535" s="2">
        <v>99</v>
      </c>
      <c r="H535" s="4">
        <v>50</v>
      </c>
      <c r="I535" s="4">
        <v>4950</v>
      </c>
      <c r="J535" s="2">
        <v>98</v>
      </c>
      <c r="K535" s="2">
        <v>4</v>
      </c>
      <c r="L535" s="2">
        <v>3</v>
      </c>
      <c r="M535" s="17" t="s">
        <v>22</v>
      </c>
    </row>
    <row r="536" spans="1:13" x14ac:dyDescent="0.3">
      <c r="A536" s="16" t="s">
        <v>565</v>
      </c>
      <c r="B536" s="3">
        <v>46098</v>
      </c>
      <c r="C536" s="2" t="s">
        <v>8</v>
      </c>
      <c r="D536" s="2" t="s">
        <v>9</v>
      </c>
      <c r="E536" s="2" t="s">
        <v>42</v>
      </c>
      <c r="F536" s="2" t="s">
        <v>31</v>
      </c>
      <c r="G536" s="2">
        <v>54</v>
      </c>
      <c r="H536" s="4">
        <v>10</v>
      </c>
      <c r="I536" s="4">
        <v>540</v>
      </c>
      <c r="J536" s="2">
        <v>70</v>
      </c>
      <c r="K536" s="2">
        <v>2</v>
      </c>
      <c r="L536" s="2">
        <v>5</v>
      </c>
      <c r="M536" s="17" t="s">
        <v>22</v>
      </c>
    </row>
    <row r="537" spans="1:13" x14ac:dyDescent="0.3">
      <c r="A537" s="16" t="s">
        <v>566</v>
      </c>
      <c r="B537" s="3">
        <v>46100</v>
      </c>
      <c r="C537" s="2" t="s">
        <v>8</v>
      </c>
      <c r="D537" s="2" t="s">
        <v>24</v>
      </c>
      <c r="E537" s="2" t="s">
        <v>16</v>
      </c>
      <c r="F537" s="2" t="s">
        <v>21</v>
      </c>
      <c r="G537" s="2">
        <v>75</v>
      </c>
      <c r="H537" s="4">
        <v>100</v>
      </c>
      <c r="I537" s="4">
        <v>7500</v>
      </c>
      <c r="J537" s="2">
        <v>84</v>
      </c>
      <c r="K537" s="2">
        <v>2</v>
      </c>
      <c r="L537" s="2">
        <v>3</v>
      </c>
      <c r="M537" s="17" t="s">
        <v>22</v>
      </c>
    </row>
    <row r="538" spans="1:13" x14ac:dyDescent="0.3">
      <c r="A538" s="16" t="s">
        <v>567</v>
      </c>
      <c r="B538" s="3">
        <v>46063</v>
      </c>
      <c r="C538" s="2" t="s">
        <v>40</v>
      </c>
      <c r="D538" s="2" t="s">
        <v>9</v>
      </c>
      <c r="E538" s="2" t="s">
        <v>10</v>
      </c>
      <c r="F538" s="2" t="s">
        <v>31</v>
      </c>
      <c r="G538" s="2">
        <v>92</v>
      </c>
      <c r="H538" s="4">
        <v>250</v>
      </c>
      <c r="I538" s="4">
        <v>23000</v>
      </c>
      <c r="J538" s="2">
        <v>81</v>
      </c>
      <c r="K538" s="2">
        <v>5</v>
      </c>
      <c r="L538" s="2">
        <v>10</v>
      </c>
      <c r="M538" s="17" t="s">
        <v>22</v>
      </c>
    </row>
    <row r="539" spans="1:13" x14ac:dyDescent="0.3">
      <c r="A539" s="16" t="s">
        <v>568</v>
      </c>
      <c r="B539" s="3">
        <v>46109</v>
      </c>
      <c r="C539" s="2" t="s">
        <v>30</v>
      </c>
      <c r="D539" s="2" t="s">
        <v>19</v>
      </c>
      <c r="E539" s="2" t="s">
        <v>16</v>
      </c>
      <c r="F539" s="2" t="s">
        <v>11</v>
      </c>
      <c r="G539" s="2">
        <v>10</v>
      </c>
      <c r="H539" s="4">
        <v>50</v>
      </c>
      <c r="I539" s="4">
        <v>500</v>
      </c>
      <c r="J539" s="2">
        <v>96</v>
      </c>
      <c r="K539" s="2">
        <v>5</v>
      </c>
      <c r="L539" s="2">
        <v>13</v>
      </c>
      <c r="M539" s="17" t="s">
        <v>22</v>
      </c>
    </row>
    <row r="540" spans="1:13" x14ac:dyDescent="0.3">
      <c r="A540" s="16" t="s">
        <v>569</v>
      </c>
      <c r="B540" s="3">
        <v>46034</v>
      </c>
      <c r="C540" s="2" t="s">
        <v>8</v>
      </c>
      <c r="D540" s="2" t="s">
        <v>24</v>
      </c>
      <c r="E540" s="2" t="s">
        <v>42</v>
      </c>
      <c r="F540" s="2" t="s">
        <v>21</v>
      </c>
      <c r="G540" s="2">
        <v>61</v>
      </c>
      <c r="H540" s="4">
        <v>20</v>
      </c>
      <c r="I540" s="4">
        <v>1220</v>
      </c>
      <c r="J540" s="2">
        <v>96</v>
      </c>
      <c r="K540" s="2">
        <v>5</v>
      </c>
      <c r="L540" s="2">
        <v>12</v>
      </c>
      <c r="M540" s="17" t="s">
        <v>22</v>
      </c>
    </row>
    <row r="541" spans="1:13" x14ac:dyDescent="0.3">
      <c r="A541" s="16" t="s">
        <v>570</v>
      </c>
      <c r="B541" s="3">
        <v>46159</v>
      </c>
      <c r="C541" s="2" t="s">
        <v>14</v>
      </c>
      <c r="D541" s="2" t="s">
        <v>24</v>
      </c>
      <c r="E541" s="2" t="s">
        <v>20</v>
      </c>
      <c r="F541" s="2" t="s">
        <v>17</v>
      </c>
      <c r="G541" s="2">
        <v>58</v>
      </c>
      <c r="H541" s="4">
        <v>5</v>
      </c>
      <c r="I541" s="4">
        <v>290</v>
      </c>
      <c r="J541" s="2">
        <v>89</v>
      </c>
      <c r="K541" s="2">
        <v>3</v>
      </c>
      <c r="L541" s="2">
        <v>6</v>
      </c>
      <c r="M541" s="17" t="s">
        <v>22</v>
      </c>
    </row>
    <row r="542" spans="1:13" x14ac:dyDescent="0.3">
      <c r="A542" s="16" t="s">
        <v>571</v>
      </c>
      <c r="B542" s="3">
        <v>46128</v>
      </c>
      <c r="C542" s="2" t="s">
        <v>14</v>
      </c>
      <c r="D542" s="2" t="s">
        <v>28</v>
      </c>
      <c r="E542" s="2" t="s">
        <v>16</v>
      </c>
      <c r="F542" s="2" t="s">
        <v>25</v>
      </c>
      <c r="G542" s="2">
        <v>99</v>
      </c>
      <c r="H542" s="4">
        <v>250</v>
      </c>
      <c r="I542" s="4">
        <v>24750</v>
      </c>
      <c r="J542" s="2">
        <v>83</v>
      </c>
      <c r="K542" s="2">
        <v>4</v>
      </c>
      <c r="L542" s="2">
        <v>14</v>
      </c>
      <c r="M542" s="17" t="s">
        <v>22</v>
      </c>
    </row>
    <row r="543" spans="1:13" x14ac:dyDescent="0.3">
      <c r="A543" s="16" t="s">
        <v>572</v>
      </c>
      <c r="B543" s="3">
        <v>46023</v>
      </c>
      <c r="C543" s="2" t="s">
        <v>14</v>
      </c>
      <c r="D543" s="2" t="s">
        <v>24</v>
      </c>
      <c r="E543" s="2" t="s">
        <v>16</v>
      </c>
      <c r="F543" s="2" t="s">
        <v>25</v>
      </c>
      <c r="G543" s="2">
        <v>79</v>
      </c>
      <c r="H543" s="4">
        <v>20</v>
      </c>
      <c r="I543" s="4">
        <v>1580</v>
      </c>
      <c r="J543" s="2">
        <v>90</v>
      </c>
      <c r="K543" s="2">
        <v>2</v>
      </c>
      <c r="L543" s="2">
        <v>14</v>
      </c>
      <c r="M543" s="17" t="s">
        <v>22</v>
      </c>
    </row>
    <row r="544" spans="1:13" x14ac:dyDescent="0.3">
      <c r="A544" s="16" t="s">
        <v>573</v>
      </c>
      <c r="B544" s="3">
        <v>46169</v>
      </c>
      <c r="C544" s="2" t="s">
        <v>8</v>
      </c>
      <c r="D544" s="2" t="s">
        <v>19</v>
      </c>
      <c r="E544" s="2" t="s">
        <v>42</v>
      </c>
      <c r="F544" s="2" t="s">
        <v>31</v>
      </c>
      <c r="G544" s="2">
        <v>58</v>
      </c>
      <c r="H544" s="4">
        <v>10</v>
      </c>
      <c r="I544" s="4">
        <v>580</v>
      </c>
      <c r="J544" s="2">
        <v>81</v>
      </c>
      <c r="K544" s="2">
        <v>4</v>
      </c>
      <c r="L544" s="2">
        <v>3</v>
      </c>
      <c r="M544" s="17" t="s">
        <v>22</v>
      </c>
    </row>
    <row r="545" spans="1:13" x14ac:dyDescent="0.3">
      <c r="A545" s="16" t="s">
        <v>574</v>
      </c>
      <c r="B545" s="3">
        <v>46162</v>
      </c>
      <c r="C545" s="2" t="s">
        <v>40</v>
      </c>
      <c r="D545" s="2" t="s">
        <v>24</v>
      </c>
      <c r="E545" s="2" t="s">
        <v>20</v>
      </c>
      <c r="F545" s="2" t="s">
        <v>25</v>
      </c>
      <c r="G545" s="2">
        <v>39</v>
      </c>
      <c r="H545" s="4">
        <v>50</v>
      </c>
      <c r="I545" s="4">
        <v>1950</v>
      </c>
      <c r="J545" s="2">
        <v>77</v>
      </c>
      <c r="K545" s="2">
        <v>2</v>
      </c>
      <c r="L545" s="2">
        <v>8</v>
      </c>
      <c r="M545" s="17" t="s">
        <v>32</v>
      </c>
    </row>
    <row r="546" spans="1:13" x14ac:dyDescent="0.3">
      <c r="A546" s="16" t="s">
        <v>575</v>
      </c>
      <c r="B546" s="3">
        <v>46134</v>
      </c>
      <c r="C546" s="2" t="s">
        <v>35</v>
      </c>
      <c r="D546" s="2" t="s">
        <v>19</v>
      </c>
      <c r="E546" s="2" t="s">
        <v>10</v>
      </c>
      <c r="F546" s="2" t="s">
        <v>21</v>
      </c>
      <c r="G546" s="2">
        <v>47</v>
      </c>
      <c r="H546" s="4">
        <v>100</v>
      </c>
      <c r="I546" s="4">
        <v>4700</v>
      </c>
      <c r="J546" s="2">
        <v>83</v>
      </c>
      <c r="K546" s="2">
        <v>5</v>
      </c>
      <c r="L546" s="2">
        <v>15</v>
      </c>
      <c r="M546" s="17" t="s">
        <v>22</v>
      </c>
    </row>
    <row r="547" spans="1:13" x14ac:dyDescent="0.3">
      <c r="A547" s="16" t="s">
        <v>576</v>
      </c>
      <c r="B547" s="3">
        <v>46170</v>
      </c>
      <c r="C547" s="2" t="s">
        <v>27</v>
      </c>
      <c r="D547" s="2" t="s">
        <v>19</v>
      </c>
      <c r="E547" s="2" t="s">
        <v>24</v>
      </c>
      <c r="F547" s="2" t="s">
        <v>17</v>
      </c>
      <c r="G547" s="2">
        <v>75</v>
      </c>
      <c r="H547" s="4">
        <v>20</v>
      </c>
      <c r="I547" s="4">
        <v>1500</v>
      </c>
      <c r="J547" s="2">
        <v>82</v>
      </c>
      <c r="K547" s="2">
        <v>4</v>
      </c>
      <c r="L547" s="2">
        <v>2</v>
      </c>
      <c r="M547" s="17" t="s">
        <v>22</v>
      </c>
    </row>
    <row r="548" spans="1:13" x14ac:dyDescent="0.3">
      <c r="A548" s="16" t="s">
        <v>577</v>
      </c>
      <c r="B548" s="3">
        <v>46088</v>
      </c>
      <c r="C548" s="2" t="s">
        <v>40</v>
      </c>
      <c r="D548" s="2" t="s">
        <v>15</v>
      </c>
      <c r="E548" s="2" t="s">
        <v>24</v>
      </c>
      <c r="F548" s="2" t="s">
        <v>21</v>
      </c>
      <c r="G548" s="2">
        <v>87</v>
      </c>
      <c r="H548" s="4">
        <v>50</v>
      </c>
      <c r="I548" s="4">
        <v>4350</v>
      </c>
      <c r="J548" s="2">
        <v>88</v>
      </c>
      <c r="K548" s="2">
        <v>3</v>
      </c>
      <c r="L548" s="2">
        <v>9</v>
      </c>
      <c r="M548" s="17" t="s">
        <v>22</v>
      </c>
    </row>
    <row r="549" spans="1:13" x14ac:dyDescent="0.3">
      <c r="A549" s="16" t="s">
        <v>578</v>
      </c>
      <c r="B549" s="3">
        <v>46179</v>
      </c>
      <c r="C549" s="2" t="s">
        <v>35</v>
      </c>
      <c r="D549" s="2" t="s">
        <v>28</v>
      </c>
      <c r="E549" s="2" t="s">
        <v>10</v>
      </c>
      <c r="F549" s="2" t="s">
        <v>21</v>
      </c>
      <c r="G549" s="2">
        <v>27</v>
      </c>
      <c r="H549" s="4">
        <v>250</v>
      </c>
      <c r="I549" s="4">
        <v>6750</v>
      </c>
      <c r="J549" s="2">
        <v>92</v>
      </c>
      <c r="K549" s="2">
        <v>2</v>
      </c>
      <c r="L549" s="2">
        <v>7</v>
      </c>
      <c r="M549" s="17" t="s">
        <v>22</v>
      </c>
    </row>
    <row r="550" spans="1:13" x14ac:dyDescent="0.3">
      <c r="A550" s="16" t="s">
        <v>579</v>
      </c>
      <c r="B550" s="3">
        <v>46045</v>
      </c>
      <c r="C550" s="2" t="s">
        <v>30</v>
      </c>
      <c r="D550" s="2" t="s">
        <v>9</v>
      </c>
      <c r="E550" s="2" t="s">
        <v>42</v>
      </c>
      <c r="F550" s="2" t="s">
        <v>21</v>
      </c>
      <c r="G550" s="2">
        <v>67</v>
      </c>
      <c r="H550" s="4">
        <v>20</v>
      </c>
      <c r="I550" s="4">
        <v>1340</v>
      </c>
      <c r="J550" s="2">
        <v>87</v>
      </c>
      <c r="K550" s="2">
        <v>2</v>
      </c>
      <c r="L550" s="2">
        <v>9</v>
      </c>
      <c r="M550" s="17" t="s">
        <v>12</v>
      </c>
    </row>
    <row r="551" spans="1:13" x14ac:dyDescent="0.3">
      <c r="A551" s="16" t="s">
        <v>580</v>
      </c>
      <c r="B551" s="3">
        <v>46098</v>
      </c>
      <c r="C551" s="2" t="s">
        <v>8</v>
      </c>
      <c r="D551" s="2" t="s">
        <v>19</v>
      </c>
      <c r="E551" s="2" t="s">
        <v>10</v>
      </c>
      <c r="F551" s="2" t="s">
        <v>31</v>
      </c>
      <c r="G551" s="2">
        <v>1</v>
      </c>
      <c r="H551" s="4">
        <v>20</v>
      </c>
      <c r="I551" s="4">
        <v>20</v>
      </c>
      <c r="J551" s="2">
        <v>96</v>
      </c>
      <c r="K551" s="2">
        <v>2</v>
      </c>
      <c r="L551" s="2">
        <v>5</v>
      </c>
      <c r="M551" s="17" t="s">
        <v>22</v>
      </c>
    </row>
    <row r="552" spans="1:13" x14ac:dyDescent="0.3">
      <c r="A552" s="16" t="s">
        <v>581</v>
      </c>
      <c r="B552" s="3">
        <v>46137</v>
      </c>
      <c r="C552" s="2" t="s">
        <v>30</v>
      </c>
      <c r="D552" s="2" t="s">
        <v>28</v>
      </c>
      <c r="E552" s="2" t="s">
        <v>20</v>
      </c>
      <c r="F552" s="2" t="s">
        <v>21</v>
      </c>
      <c r="G552" s="2">
        <v>22</v>
      </c>
      <c r="H552" s="4">
        <v>100</v>
      </c>
      <c r="I552" s="4">
        <v>2200</v>
      </c>
      <c r="J552" s="2">
        <v>78</v>
      </c>
      <c r="K552" s="2">
        <v>4</v>
      </c>
      <c r="L552" s="2">
        <v>6</v>
      </c>
      <c r="M552" s="17" t="s">
        <v>22</v>
      </c>
    </row>
    <row r="553" spans="1:13" x14ac:dyDescent="0.3">
      <c r="A553" s="16" t="s">
        <v>582</v>
      </c>
      <c r="B553" s="3">
        <v>46043</v>
      </c>
      <c r="C553" s="2" t="s">
        <v>30</v>
      </c>
      <c r="D553" s="2" t="s">
        <v>28</v>
      </c>
      <c r="E553" s="2" t="s">
        <v>20</v>
      </c>
      <c r="F553" s="2" t="s">
        <v>17</v>
      </c>
      <c r="G553" s="2">
        <v>6</v>
      </c>
      <c r="H553" s="4">
        <v>20</v>
      </c>
      <c r="I553" s="4">
        <v>120</v>
      </c>
      <c r="J553" s="2">
        <v>96</v>
      </c>
      <c r="K553" s="2">
        <v>4</v>
      </c>
      <c r="L553" s="2">
        <v>3</v>
      </c>
      <c r="M553" s="17" t="s">
        <v>22</v>
      </c>
    </row>
    <row r="554" spans="1:13" x14ac:dyDescent="0.3">
      <c r="A554" s="16" t="s">
        <v>583</v>
      </c>
      <c r="B554" s="3">
        <v>46076</v>
      </c>
      <c r="C554" s="2" t="s">
        <v>8</v>
      </c>
      <c r="D554" s="2" t="s">
        <v>24</v>
      </c>
      <c r="E554" s="2" t="s">
        <v>42</v>
      </c>
      <c r="F554" s="2" t="s">
        <v>21</v>
      </c>
      <c r="G554" s="2">
        <v>97</v>
      </c>
      <c r="H554" s="4">
        <v>5</v>
      </c>
      <c r="I554" s="4">
        <v>485</v>
      </c>
      <c r="J554" s="2">
        <v>90</v>
      </c>
      <c r="K554" s="2">
        <v>3</v>
      </c>
      <c r="L554" s="2">
        <v>14</v>
      </c>
      <c r="M554" s="17" t="s">
        <v>22</v>
      </c>
    </row>
    <row r="555" spans="1:13" x14ac:dyDescent="0.3">
      <c r="A555" s="16" t="s">
        <v>584</v>
      </c>
      <c r="B555" s="3">
        <v>46094</v>
      </c>
      <c r="C555" s="2" t="s">
        <v>40</v>
      </c>
      <c r="D555" s="2" t="s">
        <v>15</v>
      </c>
      <c r="E555" s="2" t="s">
        <v>10</v>
      </c>
      <c r="F555" s="2" t="s">
        <v>25</v>
      </c>
      <c r="G555" s="2">
        <v>24</v>
      </c>
      <c r="H555" s="4">
        <v>20</v>
      </c>
      <c r="I555" s="4">
        <v>480</v>
      </c>
      <c r="J555" s="2">
        <v>85</v>
      </c>
      <c r="K555" s="2">
        <v>4</v>
      </c>
      <c r="L555" s="2">
        <v>4</v>
      </c>
      <c r="M555" s="17" t="s">
        <v>22</v>
      </c>
    </row>
    <row r="556" spans="1:13" x14ac:dyDescent="0.3">
      <c r="A556" s="16" t="s">
        <v>585</v>
      </c>
      <c r="B556" s="3">
        <v>46183</v>
      </c>
      <c r="C556" s="2" t="s">
        <v>30</v>
      </c>
      <c r="D556" s="2" t="s">
        <v>9</v>
      </c>
      <c r="E556" s="2" t="s">
        <v>16</v>
      </c>
      <c r="F556" s="2" t="s">
        <v>17</v>
      </c>
      <c r="G556" s="2">
        <v>56</v>
      </c>
      <c r="H556" s="4">
        <v>100</v>
      </c>
      <c r="I556" s="4">
        <v>5600</v>
      </c>
      <c r="J556" s="2">
        <v>85</v>
      </c>
      <c r="K556" s="2">
        <v>3</v>
      </c>
      <c r="L556" s="2">
        <v>4</v>
      </c>
      <c r="M556" s="17" t="s">
        <v>22</v>
      </c>
    </row>
    <row r="557" spans="1:13" x14ac:dyDescent="0.3">
      <c r="A557" s="16" t="s">
        <v>586</v>
      </c>
      <c r="B557" s="3">
        <v>46071</v>
      </c>
      <c r="C557" s="2" t="s">
        <v>40</v>
      </c>
      <c r="D557" s="2" t="s">
        <v>9</v>
      </c>
      <c r="E557" s="2" t="s">
        <v>20</v>
      </c>
      <c r="F557" s="2" t="s">
        <v>21</v>
      </c>
      <c r="G557" s="2">
        <v>94</v>
      </c>
      <c r="H557" s="4">
        <v>5</v>
      </c>
      <c r="I557" s="4">
        <v>470</v>
      </c>
      <c r="J557" s="2">
        <v>76</v>
      </c>
      <c r="K557" s="2">
        <v>3</v>
      </c>
      <c r="L557" s="2">
        <v>12</v>
      </c>
      <c r="M557" s="17" t="s">
        <v>22</v>
      </c>
    </row>
    <row r="558" spans="1:13" x14ac:dyDescent="0.3">
      <c r="A558" s="16" t="s">
        <v>587</v>
      </c>
      <c r="B558" s="3">
        <v>46079</v>
      </c>
      <c r="C558" s="2" t="s">
        <v>35</v>
      </c>
      <c r="D558" s="2" t="s">
        <v>24</v>
      </c>
      <c r="E558" s="2" t="s">
        <v>42</v>
      </c>
      <c r="F558" s="2" t="s">
        <v>17</v>
      </c>
      <c r="G558" s="2">
        <v>90</v>
      </c>
      <c r="H558" s="4">
        <v>5</v>
      </c>
      <c r="I558" s="4">
        <v>450</v>
      </c>
      <c r="J558" s="2">
        <v>96</v>
      </c>
      <c r="K558" s="2">
        <v>5</v>
      </c>
      <c r="L558" s="2">
        <v>13</v>
      </c>
      <c r="M558" s="17" t="s">
        <v>22</v>
      </c>
    </row>
    <row r="559" spans="1:13" x14ac:dyDescent="0.3">
      <c r="A559" s="16" t="s">
        <v>588</v>
      </c>
      <c r="B559" s="3">
        <v>46069</v>
      </c>
      <c r="C559" s="2" t="s">
        <v>27</v>
      </c>
      <c r="D559" s="2" t="s">
        <v>24</v>
      </c>
      <c r="E559" s="2" t="s">
        <v>16</v>
      </c>
      <c r="F559" s="2" t="s">
        <v>31</v>
      </c>
      <c r="G559" s="2">
        <v>71</v>
      </c>
      <c r="H559" s="4">
        <v>50</v>
      </c>
      <c r="I559" s="4">
        <v>3550</v>
      </c>
      <c r="J559" s="2">
        <v>80</v>
      </c>
      <c r="K559" s="2">
        <v>3</v>
      </c>
      <c r="L559" s="2">
        <v>6</v>
      </c>
      <c r="M559" s="17" t="s">
        <v>22</v>
      </c>
    </row>
    <row r="560" spans="1:13" x14ac:dyDescent="0.3">
      <c r="A560" s="16" t="s">
        <v>589</v>
      </c>
      <c r="B560" s="3">
        <v>46193</v>
      </c>
      <c r="C560" s="2" t="s">
        <v>14</v>
      </c>
      <c r="D560" s="2" t="s">
        <v>15</v>
      </c>
      <c r="E560" s="2" t="s">
        <v>10</v>
      </c>
      <c r="F560" s="2" t="s">
        <v>11</v>
      </c>
      <c r="G560" s="2">
        <v>95</v>
      </c>
      <c r="H560" s="4">
        <v>250</v>
      </c>
      <c r="I560" s="4">
        <v>23750</v>
      </c>
      <c r="J560" s="2">
        <v>98</v>
      </c>
      <c r="K560" s="2">
        <v>3</v>
      </c>
      <c r="L560" s="2">
        <v>16</v>
      </c>
      <c r="M560" s="17" t="s">
        <v>22</v>
      </c>
    </row>
    <row r="561" spans="1:13" x14ac:dyDescent="0.3">
      <c r="A561" s="16" t="s">
        <v>590</v>
      </c>
      <c r="B561" s="3">
        <v>46088</v>
      </c>
      <c r="C561" s="2" t="s">
        <v>27</v>
      </c>
      <c r="D561" s="2" t="s">
        <v>28</v>
      </c>
      <c r="E561" s="2" t="s">
        <v>16</v>
      </c>
      <c r="F561" s="2" t="s">
        <v>31</v>
      </c>
      <c r="G561" s="2">
        <v>33</v>
      </c>
      <c r="H561" s="4">
        <v>5</v>
      </c>
      <c r="I561" s="4">
        <v>165</v>
      </c>
      <c r="J561" s="2">
        <v>92</v>
      </c>
      <c r="K561" s="2">
        <v>2</v>
      </c>
      <c r="L561" s="2">
        <v>9</v>
      </c>
      <c r="M561" s="17" t="s">
        <v>22</v>
      </c>
    </row>
    <row r="562" spans="1:13" x14ac:dyDescent="0.3">
      <c r="A562" s="16" t="s">
        <v>591</v>
      </c>
      <c r="B562" s="3">
        <v>46126</v>
      </c>
      <c r="C562" s="2" t="s">
        <v>8</v>
      </c>
      <c r="D562" s="2" t="s">
        <v>15</v>
      </c>
      <c r="E562" s="2" t="s">
        <v>20</v>
      </c>
      <c r="F562" s="2" t="s">
        <v>21</v>
      </c>
      <c r="G562" s="2">
        <v>34</v>
      </c>
      <c r="H562" s="4">
        <v>20</v>
      </c>
      <c r="I562" s="4">
        <v>680</v>
      </c>
      <c r="J562" s="2">
        <v>77</v>
      </c>
      <c r="K562" s="2">
        <v>5</v>
      </c>
      <c r="L562" s="2">
        <v>9</v>
      </c>
      <c r="M562" s="17" t="s">
        <v>22</v>
      </c>
    </row>
    <row r="563" spans="1:13" x14ac:dyDescent="0.3">
      <c r="A563" s="16" t="s">
        <v>592</v>
      </c>
      <c r="B563" s="3">
        <v>46105</v>
      </c>
      <c r="C563" s="2" t="s">
        <v>30</v>
      </c>
      <c r="D563" s="2" t="s">
        <v>9</v>
      </c>
      <c r="E563" s="2" t="s">
        <v>10</v>
      </c>
      <c r="F563" s="2" t="s">
        <v>21</v>
      </c>
      <c r="G563" s="2">
        <v>27</v>
      </c>
      <c r="H563" s="4">
        <v>10</v>
      </c>
      <c r="I563" s="4">
        <v>270</v>
      </c>
      <c r="J563" s="2">
        <v>89</v>
      </c>
      <c r="K563" s="2">
        <v>5</v>
      </c>
      <c r="L563" s="2">
        <v>18</v>
      </c>
      <c r="M563" s="17" t="s">
        <v>22</v>
      </c>
    </row>
    <row r="564" spans="1:13" x14ac:dyDescent="0.3">
      <c r="A564" s="16" t="s">
        <v>593</v>
      </c>
      <c r="B564" s="3">
        <v>46035</v>
      </c>
      <c r="C564" s="2" t="s">
        <v>35</v>
      </c>
      <c r="D564" s="2" t="s">
        <v>15</v>
      </c>
      <c r="E564" s="2" t="s">
        <v>42</v>
      </c>
      <c r="F564" s="2" t="s">
        <v>11</v>
      </c>
      <c r="G564" s="2">
        <v>76</v>
      </c>
      <c r="H564" s="4">
        <v>50</v>
      </c>
      <c r="I564" s="4">
        <v>3800</v>
      </c>
      <c r="J564" s="2">
        <v>81</v>
      </c>
      <c r="K564" s="2">
        <v>4</v>
      </c>
      <c r="L564" s="2">
        <v>6</v>
      </c>
      <c r="M564" s="17" t="s">
        <v>32</v>
      </c>
    </row>
    <row r="565" spans="1:13" x14ac:dyDescent="0.3">
      <c r="A565" s="16" t="s">
        <v>594</v>
      </c>
      <c r="B565" s="3">
        <v>46062</v>
      </c>
      <c r="C565" s="2" t="s">
        <v>14</v>
      </c>
      <c r="D565" s="2" t="s">
        <v>9</v>
      </c>
      <c r="E565" s="2" t="s">
        <v>24</v>
      </c>
      <c r="F565" s="2" t="s">
        <v>17</v>
      </c>
      <c r="G565" s="2">
        <v>85</v>
      </c>
      <c r="H565" s="4">
        <v>20</v>
      </c>
      <c r="I565" s="4">
        <v>1700</v>
      </c>
      <c r="J565" s="2">
        <v>90</v>
      </c>
      <c r="K565" s="2">
        <v>5</v>
      </c>
      <c r="L565" s="2">
        <v>3</v>
      </c>
      <c r="M565" s="17" t="s">
        <v>22</v>
      </c>
    </row>
    <row r="566" spans="1:13" x14ac:dyDescent="0.3">
      <c r="A566" s="16" t="s">
        <v>595</v>
      </c>
      <c r="B566" s="3">
        <v>46055</v>
      </c>
      <c r="C566" s="2" t="s">
        <v>40</v>
      </c>
      <c r="D566" s="2" t="s">
        <v>24</v>
      </c>
      <c r="E566" s="2" t="s">
        <v>16</v>
      </c>
      <c r="F566" s="2" t="s">
        <v>11</v>
      </c>
      <c r="G566" s="2">
        <v>28</v>
      </c>
      <c r="H566" s="4">
        <v>5</v>
      </c>
      <c r="I566" s="4">
        <v>140</v>
      </c>
      <c r="J566" s="2">
        <v>75</v>
      </c>
      <c r="K566" s="2">
        <v>5</v>
      </c>
      <c r="L566" s="2">
        <v>14</v>
      </c>
      <c r="M566" s="17" t="s">
        <v>22</v>
      </c>
    </row>
    <row r="567" spans="1:13" x14ac:dyDescent="0.3">
      <c r="A567" s="16" t="s">
        <v>596</v>
      </c>
      <c r="B567" s="3">
        <v>46032</v>
      </c>
      <c r="C567" s="2" t="s">
        <v>14</v>
      </c>
      <c r="D567" s="2" t="s">
        <v>19</v>
      </c>
      <c r="E567" s="2" t="s">
        <v>42</v>
      </c>
      <c r="F567" s="2" t="s">
        <v>21</v>
      </c>
      <c r="G567" s="2">
        <v>72</v>
      </c>
      <c r="H567" s="4">
        <v>5</v>
      </c>
      <c r="I567" s="4">
        <v>360</v>
      </c>
      <c r="J567" s="2">
        <v>80</v>
      </c>
      <c r="K567" s="2">
        <v>2</v>
      </c>
      <c r="L567" s="2">
        <v>12</v>
      </c>
      <c r="M567" s="17" t="s">
        <v>32</v>
      </c>
    </row>
    <row r="568" spans="1:13" x14ac:dyDescent="0.3">
      <c r="A568" s="16" t="s">
        <v>597</v>
      </c>
      <c r="B568" s="3">
        <v>46101</v>
      </c>
      <c r="C568" s="2" t="s">
        <v>40</v>
      </c>
      <c r="D568" s="2" t="s">
        <v>19</v>
      </c>
      <c r="E568" s="2" t="s">
        <v>24</v>
      </c>
      <c r="F568" s="2" t="s">
        <v>17</v>
      </c>
      <c r="G568" s="2">
        <v>8</v>
      </c>
      <c r="H568" s="4">
        <v>100</v>
      </c>
      <c r="I568" s="4">
        <v>800</v>
      </c>
      <c r="J568" s="2">
        <v>79</v>
      </c>
      <c r="K568" s="2">
        <v>5</v>
      </c>
      <c r="L568" s="2">
        <v>9</v>
      </c>
      <c r="M568" s="17" t="s">
        <v>22</v>
      </c>
    </row>
    <row r="569" spans="1:13" x14ac:dyDescent="0.3">
      <c r="A569" s="16" t="s">
        <v>598</v>
      </c>
      <c r="B569" s="3">
        <v>46163</v>
      </c>
      <c r="C569" s="2" t="s">
        <v>40</v>
      </c>
      <c r="D569" s="2" t="s">
        <v>24</v>
      </c>
      <c r="E569" s="2" t="s">
        <v>24</v>
      </c>
      <c r="F569" s="2" t="s">
        <v>21</v>
      </c>
      <c r="G569" s="2">
        <v>44</v>
      </c>
      <c r="H569" s="4">
        <v>10</v>
      </c>
      <c r="I569" s="4">
        <v>440</v>
      </c>
      <c r="J569" s="2">
        <v>83</v>
      </c>
      <c r="K569" s="2">
        <v>5</v>
      </c>
      <c r="L569" s="2">
        <v>3</v>
      </c>
      <c r="M569" s="17" t="s">
        <v>22</v>
      </c>
    </row>
    <row r="570" spans="1:13" x14ac:dyDescent="0.3">
      <c r="A570" s="16" t="s">
        <v>599</v>
      </c>
      <c r="B570" s="3">
        <v>46044</v>
      </c>
      <c r="C570" s="2" t="s">
        <v>40</v>
      </c>
      <c r="D570" s="2" t="s">
        <v>19</v>
      </c>
      <c r="E570" s="2" t="s">
        <v>10</v>
      </c>
      <c r="F570" s="2" t="s">
        <v>31</v>
      </c>
      <c r="G570" s="2">
        <v>93</v>
      </c>
      <c r="H570" s="4">
        <v>100</v>
      </c>
      <c r="I570" s="4">
        <v>9300</v>
      </c>
      <c r="J570" s="2">
        <v>85</v>
      </c>
      <c r="K570" s="2">
        <v>3</v>
      </c>
      <c r="L570" s="2">
        <v>8</v>
      </c>
      <c r="M570" s="17" t="s">
        <v>22</v>
      </c>
    </row>
    <row r="571" spans="1:13" x14ac:dyDescent="0.3">
      <c r="A571" s="16" t="s">
        <v>600</v>
      </c>
      <c r="B571" s="3">
        <v>46072</v>
      </c>
      <c r="C571" s="2" t="s">
        <v>30</v>
      </c>
      <c r="D571" s="2" t="s">
        <v>15</v>
      </c>
      <c r="E571" s="2" t="s">
        <v>20</v>
      </c>
      <c r="F571" s="2" t="s">
        <v>31</v>
      </c>
      <c r="G571" s="2">
        <v>17</v>
      </c>
      <c r="H571" s="4">
        <v>10</v>
      </c>
      <c r="I571" s="4">
        <v>170</v>
      </c>
      <c r="J571" s="2">
        <v>70</v>
      </c>
      <c r="K571" s="2">
        <v>5</v>
      </c>
      <c r="L571" s="2">
        <v>6</v>
      </c>
      <c r="M571" s="17" t="s">
        <v>32</v>
      </c>
    </row>
    <row r="572" spans="1:13" x14ac:dyDescent="0.3">
      <c r="A572" s="16" t="s">
        <v>601</v>
      </c>
      <c r="B572" s="3">
        <v>46105</v>
      </c>
      <c r="C572" s="2" t="s">
        <v>27</v>
      </c>
      <c r="D572" s="2" t="s">
        <v>28</v>
      </c>
      <c r="E572" s="2" t="s">
        <v>20</v>
      </c>
      <c r="F572" s="2" t="s">
        <v>21</v>
      </c>
      <c r="G572" s="2">
        <v>98</v>
      </c>
      <c r="H572" s="4">
        <v>20</v>
      </c>
      <c r="I572" s="4">
        <v>1960</v>
      </c>
      <c r="J572" s="2">
        <v>80</v>
      </c>
      <c r="K572" s="2">
        <v>3</v>
      </c>
      <c r="L572" s="2">
        <v>5</v>
      </c>
      <c r="M572" s="17" t="s">
        <v>22</v>
      </c>
    </row>
    <row r="573" spans="1:13" x14ac:dyDescent="0.3">
      <c r="A573" s="16" t="s">
        <v>602</v>
      </c>
      <c r="B573" s="3">
        <v>46195</v>
      </c>
      <c r="C573" s="2" t="s">
        <v>8</v>
      </c>
      <c r="D573" s="2" t="s">
        <v>24</v>
      </c>
      <c r="E573" s="2" t="s">
        <v>24</v>
      </c>
      <c r="F573" s="2" t="s">
        <v>11</v>
      </c>
      <c r="G573" s="2">
        <v>67</v>
      </c>
      <c r="H573" s="4">
        <v>100</v>
      </c>
      <c r="I573" s="4">
        <v>6700</v>
      </c>
      <c r="J573" s="2">
        <v>98</v>
      </c>
      <c r="K573" s="2">
        <v>3</v>
      </c>
      <c r="L573" s="2">
        <v>7</v>
      </c>
      <c r="M573" s="17" t="s">
        <v>22</v>
      </c>
    </row>
    <row r="574" spans="1:13" x14ac:dyDescent="0.3">
      <c r="A574" s="16" t="s">
        <v>603</v>
      </c>
      <c r="B574" s="3">
        <v>46073</v>
      </c>
      <c r="C574" s="2" t="s">
        <v>14</v>
      </c>
      <c r="D574" s="2" t="s">
        <v>9</v>
      </c>
      <c r="E574" s="2" t="s">
        <v>42</v>
      </c>
      <c r="F574" s="2" t="s">
        <v>11</v>
      </c>
      <c r="G574" s="2">
        <v>58</v>
      </c>
      <c r="H574" s="4">
        <v>50</v>
      </c>
      <c r="I574" s="4">
        <v>2900</v>
      </c>
      <c r="J574" s="2">
        <v>95</v>
      </c>
      <c r="K574" s="2">
        <v>5</v>
      </c>
      <c r="L574" s="2">
        <v>3</v>
      </c>
      <c r="M574" s="17" t="s">
        <v>22</v>
      </c>
    </row>
    <row r="575" spans="1:13" x14ac:dyDescent="0.3">
      <c r="A575" s="16" t="s">
        <v>604</v>
      </c>
      <c r="B575" s="3">
        <v>46065</v>
      </c>
      <c r="C575" s="2" t="s">
        <v>40</v>
      </c>
      <c r="D575" s="2" t="s">
        <v>24</v>
      </c>
      <c r="E575" s="2" t="s">
        <v>24</v>
      </c>
      <c r="F575" s="2" t="s">
        <v>17</v>
      </c>
      <c r="G575" s="2">
        <v>100</v>
      </c>
      <c r="H575" s="4">
        <v>5</v>
      </c>
      <c r="I575" s="4">
        <v>500</v>
      </c>
      <c r="J575" s="2">
        <v>97</v>
      </c>
      <c r="K575" s="2">
        <v>3</v>
      </c>
      <c r="L575" s="2">
        <v>2</v>
      </c>
      <c r="M575" s="17" t="s">
        <v>22</v>
      </c>
    </row>
    <row r="576" spans="1:13" x14ac:dyDescent="0.3">
      <c r="A576" s="16" t="s">
        <v>605</v>
      </c>
      <c r="B576" s="3">
        <v>46060</v>
      </c>
      <c r="C576" s="2" t="s">
        <v>27</v>
      </c>
      <c r="D576" s="2" t="s">
        <v>24</v>
      </c>
      <c r="E576" s="2" t="s">
        <v>16</v>
      </c>
      <c r="F576" s="2" t="s">
        <v>11</v>
      </c>
      <c r="G576" s="2">
        <v>10</v>
      </c>
      <c r="H576" s="4">
        <v>10</v>
      </c>
      <c r="I576" s="4">
        <v>100</v>
      </c>
      <c r="J576" s="2">
        <v>93</v>
      </c>
      <c r="K576" s="2">
        <v>5</v>
      </c>
      <c r="L576" s="2">
        <v>16</v>
      </c>
      <c r="M576" s="17" t="s">
        <v>12</v>
      </c>
    </row>
    <row r="577" spans="1:13" x14ac:dyDescent="0.3">
      <c r="A577" s="16" t="s">
        <v>606</v>
      </c>
      <c r="B577" s="3">
        <v>46084</v>
      </c>
      <c r="C577" s="2" t="s">
        <v>35</v>
      </c>
      <c r="D577" s="2" t="s">
        <v>28</v>
      </c>
      <c r="E577" s="2" t="s">
        <v>24</v>
      </c>
      <c r="F577" s="2" t="s">
        <v>11</v>
      </c>
      <c r="G577" s="2">
        <v>100</v>
      </c>
      <c r="H577" s="4">
        <v>50</v>
      </c>
      <c r="I577" s="4">
        <v>5000</v>
      </c>
      <c r="J577" s="2">
        <v>74</v>
      </c>
      <c r="K577" s="2">
        <v>5</v>
      </c>
      <c r="L577" s="2">
        <v>12</v>
      </c>
      <c r="M577" s="17" t="s">
        <v>22</v>
      </c>
    </row>
    <row r="578" spans="1:13" x14ac:dyDescent="0.3">
      <c r="A578" s="16" t="s">
        <v>607</v>
      </c>
      <c r="B578" s="3">
        <v>46089</v>
      </c>
      <c r="C578" s="2" t="s">
        <v>35</v>
      </c>
      <c r="D578" s="2" t="s">
        <v>9</v>
      </c>
      <c r="E578" s="2" t="s">
        <v>24</v>
      </c>
      <c r="F578" s="2" t="s">
        <v>25</v>
      </c>
      <c r="G578" s="2">
        <v>83</v>
      </c>
      <c r="H578" s="4">
        <v>250</v>
      </c>
      <c r="I578" s="4">
        <v>20750</v>
      </c>
      <c r="J578" s="2">
        <v>80</v>
      </c>
      <c r="K578" s="2">
        <v>3</v>
      </c>
      <c r="L578" s="2">
        <v>2</v>
      </c>
      <c r="M578" s="17" t="s">
        <v>22</v>
      </c>
    </row>
    <row r="579" spans="1:13" x14ac:dyDescent="0.3">
      <c r="A579" s="16" t="s">
        <v>608</v>
      </c>
      <c r="B579" s="3">
        <v>46090</v>
      </c>
      <c r="C579" s="2" t="s">
        <v>40</v>
      </c>
      <c r="D579" s="2" t="s">
        <v>28</v>
      </c>
      <c r="E579" s="2" t="s">
        <v>24</v>
      </c>
      <c r="F579" s="2" t="s">
        <v>25</v>
      </c>
      <c r="G579" s="2">
        <v>95</v>
      </c>
      <c r="H579" s="4">
        <v>10</v>
      </c>
      <c r="I579" s="4">
        <v>950</v>
      </c>
      <c r="J579" s="2">
        <v>92</v>
      </c>
      <c r="K579" s="2">
        <v>3</v>
      </c>
      <c r="L579" s="2">
        <v>13</v>
      </c>
      <c r="M579" s="17" t="s">
        <v>32</v>
      </c>
    </row>
    <row r="580" spans="1:13" x14ac:dyDescent="0.3">
      <c r="A580" s="16" t="s">
        <v>609</v>
      </c>
      <c r="B580" s="3">
        <v>46056</v>
      </c>
      <c r="C580" s="2" t="s">
        <v>30</v>
      </c>
      <c r="D580" s="2" t="s">
        <v>19</v>
      </c>
      <c r="E580" s="2" t="s">
        <v>42</v>
      </c>
      <c r="F580" s="2" t="s">
        <v>21</v>
      </c>
      <c r="G580" s="2">
        <v>89</v>
      </c>
      <c r="H580" s="4">
        <v>50</v>
      </c>
      <c r="I580" s="4">
        <v>4450</v>
      </c>
      <c r="J580" s="2">
        <v>95</v>
      </c>
      <c r="K580" s="2">
        <v>2</v>
      </c>
      <c r="L580" s="2">
        <v>11</v>
      </c>
      <c r="M580" s="17" t="s">
        <v>22</v>
      </c>
    </row>
    <row r="581" spans="1:13" x14ac:dyDescent="0.3">
      <c r="A581" s="16" t="s">
        <v>610</v>
      </c>
      <c r="B581" s="3">
        <v>46023</v>
      </c>
      <c r="C581" s="2" t="s">
        <v>27</v>
      </c>
      <c r="D581" s="2" t="s">
        <v>28</v>
      </c>
      <c r="E581" s="2" t="s">
        <v>42</v>
      </c>
      <c r="F581" s="2" t="s">
        <v>21</v>
      </c>
      <c r="G581" s="2">
        <v>88</v>
      </c>
      <c r="H581" s="4">
        <v>100</v>
      </c>
      <c r="I581" s="4">
        <v>8800</v>
      </c>
      <c r="J581" s="2">
        <v>98</v>
      </c>
      <c r="K581" s="2">
        <v>3</v>
      </c>
      <c r="L581" s="2">
        <v>3</v>
      </c>
      <c r="M581" s="17" t="s">
        <v>12</v>
      </c>
    </row>
    <row r="582" spans="1:13" x14ac:dyDescent="0.3">
      <c r="A582" s="16" t="s">
        <v>611</v>
      </c>
      <c r="B582" s="3">
        <v>46029</v>
      </c>
      <c r="C582" s="2" t="s">
        <v>27</v>
      </c>
      <c r="D582" s="2" t="s">
        <v>9</v>
      </c>
      <c r="E582" s="2" t="s">
        <v>42</v>
      </c>
      <c r="F582" s="2" t="s">
        <v>25</v>
      </c>
      <c r="G582" s="2">
        <v>63</v>
      </c>
      <c r="H582" s="4">
        <v>5</v>
      </c>
      <c r="I582" s="4">
        <v>315</v>
      </c>
      <c r="J582" s="2">
        <v>88</v>
      </c>
      <c r="K582" s="2">
        <v>2</v>
      </c>
      <c r="L582" s="2">
        <v>12</v>
      </c>
      <c r="M582" s="17" t="s">
        <v>32</v>
      </c>
    </row>
    <row r="583" spans="1:13" x14ac:dyDescent="0.3">
      <c r="A583" s="16" t="s">
        <v>612</v>
      </c>
      <c r="B583" s="3">
        <v>46124</v>
      </c>
      <c r="C583" s="2" t="s">
        <v>30</v>
      </c>
      <c r="D583" s="2" t="s">
        <v>19</v>
      </c>
      <c r="E583" s="2" t="s">
        <v>24</v>
      </c>
      <c r="F583" s="2" t="s">
        <v>25</v>
      </c>
      <c r="G583" s="2">
        <v>12</v>
      </c>
      <c r="H583" s="4">
        <v>10</v>
      </c>
      <c r="I583" s="4">
        <v>120</v>
      </c>
      <c r="J583" s="2">
        <v>93</v>
      </c>
      <c r="K583" s="2">
        <v>3</v>
      </c>
      <c r="L583" s="2">
        <v>17</v>
      </c>
      <c r="M583" s="17" t="s">
        <v>22</v>
      </c>
    </row>
    <row r="584" spans="1:13" x14ac:dyDescent="0.3">
      <c r="A584" s="16" t="s">
        <v>613</v>
      </c>
      <c r="B584" s="3">
        <v>46163</v>
      </c>
      <c r="C584" s="2" t="s">
        <v>40</v>
      </c>
      <c r="D584" s="2" t="s">
        <v>9</v>
      </c>
      <c r="E584" s="2" t="s">
        <v>24</v>
      </c>
      <c r="F584" s="2" t="s">
        <v>11</v>
      </c>
      <c r="G584" s="2">
        <v>11</v>
      </c>
      <c r="H584" s="4">
        <v>50</v>
      </c>
      <c r="I584" s="4">
        <v>550</v>
      </c>
      <c r="J584" s="2">
        <v>70</v>
      </c>
      <c r="K584" s="2">
        <v>4</v>
      </c>
      <c r="L584" s="2">
        <v>5</v>
      </c>
      <c r="M584" s="17" t="s">
        <v>22</v>
      </c>
    </row>
    <row r="585" spans="1:13" x14ac:dyDescent="0.3">
      <c r="A585" s="16" t="s">
        <v>614</v>
      </c>
      <c r="B585" s="3">
        <v>46180</v>
      </c>
      <c r="C585" s="2" t="s">
        <v>27</v>
      </c>
      <c r="D585" s="2" t="s">
        <v>24</v>
      </c>
      <c r="E585" s="2" t="s">
        <v>16</v>
      </c>
      <c r="F585" s="2" t="s">
        <v>25</v>
      </c>
      <c r="G585" s="2">
        <v>60</v>
      </c>
      <c r="H585" s="4">
        <v>10</v>
      </c>
      <c r="I585" s="4">
        <v>600</v>
      </c>
      <c r="J585" s="2">
        <v>84</v>
      </c>
      <c r="K585" s="2">
        <v>4</v>
      </c>
      <c r="L585" s="2">
        <v>6</v>
      </c>
      <c r="M585" s="17" t="s">
        <v>32</v>
      </c>
    </row>
    <row r="586" spans="1:13" x14ac:dyDescent="0.3">
      <c r="A586" s="16" t="s">
        <v>615</v>
      </c>
      <c r="B586" s="3">
        <v>46097</v>
      </c>
      <c r="C586" s="2" t="s">
        <v>14</v>
      </c>
      <c r="D586" s="2" t="s">
        <v>28</v>
      </c>
      <c r="E586" s="2" t="s">
        <v>42</v>
      </c>
      <c r="F586" s="2" t="s">
        <v>31</v>
      </c>
      <c r="G586" s="2">
        <v>19</v>
      </c>
      <c r="H586" s="4">
        <v>20</v>
      </c>
      <c r="I586" s="4">
        <v>380</v>
      </c>
      <c r="J586" s="2">
        <v>94</v>
      </c>
      <c r="K586" s="2">
        <v>2</v>
      </c>
      <c r="L586" s="2">
        <v>9</v>
      </c>
      <c r="M586" s="17" t="s">
        <v>32</v>
      </c>
    </row>
    <row r="587" spans="1:13" x14ac:dyDescent="0.3">
      <c r="A587" s="16" t="s">
        <v>616</v>
      </c>
      <c r="B587" s="3">
        <v>46138</v>
      </c>
      <c r="C587" s="2" t="s">
        <v>30</v>
      </c>
      <c r="D587" s="2" t="s">
        <v>24</v>
      </c>
      <c r="E587" s="2" t="s">
        <v>16</v>
      </c>
      <c r="F587" s="2" t="s">
        <v>11</v>
      </c>
      <c r="G587" s="2">
        <v>62</v>
      </c>
      <c r="H587" s="4">
        <v>5</v>
      </c>
      <c r="I587" s="4">
        <v>310</v>
      </c>
      <c r="J587" s="2">
        <v>76</v>
      </c>
      <c r="K587" s="2">
        <v>3</v>
      </c>
      <c r="L587" s="2">
        <v>7</v>
      </c>
      <c r="M587" s="17" t="s">
        <v>22</v>
      </c>
    </row>
    <row r="588" spans="1:13" x14ac:dyDescent="0.3">
      <c r="A588" s="16" t="s">
        <v>617</v>
      </c>
      <c r="B588" s="3">
        <v>46182</v>
      </c>
      <c r="C588" s="2" t="s">
        <v>27</v>
      </c>
      <c r="D588" s="2" t="s">
        <v>19</v>
      </c>
      <c r="E588" s="2" t="s">
        <v>42</v>
      </c>
      <c r="F588" s="2" t="s">
        <v>21</v>
      </c>
      <c r="G588" s="2">
        <v>62</v>
      </c>
      <c r="H588" s="4">
        <v>10</v>
      </c>
      <c r="I588" s="4">
        <v>620</v>
      </c>
      <c r="J588" s="2">
        <v>72</v>
      </c>
      <c r="K588" s="2">
        <v>5</v>
      </c>
      <c r="L588" s="2">
        <v>17</v>
      </c>
      <c r="M588" s="17" t="s">
        <v>22</v>
      </c>
    </row>
    <row r="589" spans="1:13" x14ac:dyDescent="0.3">
      <c r="A589" s="16" t="s">
        <v>618</v>
      </c>
      <c r="B589" s="3">
        <v>46178</v>
      </c>
      <c r="C589" s="2" t="s">
        <v>40</v>
      </c>
      <c r="D589" s="2" t="s">
        <v>15</v>
      </c>
      <c r="E589" s="2" t="s">
        <v>10</v>
      </c>
      <c r="F589" s="2" t="s">
        <v>11</v>
      </c>
      <c r="G589" s="2">
        <v>28</v>
      </c>
      <c r="H589" s="4">
        <v>10</v>
      </c>
      <c r="I589" s="4">
        <v>280</v>
      </c>
      <c r="J589" s="2">
        <v>87</v>
      </c>
      <c r="K589" s="2">
        <v>2</v>
      </c>
      <c r="L589" s="2">
        <v>9</v>
      </c>
      <c r="M589" s="17" t="s">
        <v>22</v>
      </c>
    </row>
    <row r="590" spans="1:13" x14ac:dyDescent="0.3">
      <c r="A590" s="16" t="s">
        <v>619</v>
      </c>
      <c r="B590" s="3">
        <v>46043</v>
      </c>
      <c r="C590" s="2" t="s">
        <v>35</v>
      </c>
      <c r="D590" s="2" t="s">
        <v>9</v>
      </c>
      <c r="E590" s="2" t="s">
        <v>10</v>
      </c>
      <c r="F590" s="2" t="s">
        <v>21</v>
      </c>
      <c r="G590" s="2">
        <v>72</v>
      </c>
      <c r="H590" s="4">
        <v>20</v>
      </c>
      <c r="I590" s="4">
        <v>1440</v>
      </c>
      <c r="J590" s="2">
        <v>81</v>
      </c>
      <c r="K590" s="2">
        <v>4</v>
      </c>
      <c r="L590" s="2">
        <v>19</v>
      </c>
      <c r="M590" s="17" t="s">
        <v>22</v>
      </c>
    </row>
    <row r="591" spans="1:13" x14ac:dyDescent="0.3">
      <c r="A591" s="16" t="s">
        <v>620</v>
      </c>
      <c r="B591" s="3">
        <v>46084</v>
      </c>
      <c r="C591" s="2" t="s">
        <v>40</v>
      </c>
      <c r="D591" s="2" t="s">
        <v>28</v>
      </c>
      <c r="E591" s="2" t="s">
        <v>42</v>
      </c>
      <c r="F591" s="2" t="s">
        <v>25</v>
      </c>
      <c r="G591" s="2">
        <v>93</v>
      </c>
      <c r="H591" s="4">
        <v>250</v>
      </c>
      <c r="I591" s="4">
        <v>23250</v>
      </c>
      <c r="J591" s="2">
        <v>74</v>
      </c>
      <c r="K591" s="2">
        <v>5</v>
      </c>
      <c r="L591" s="2">
        <v>19</v>
      </c>
      <c r="M591" s="17" t="s">
        <v>22</v>
      </c>
    </row>
    <row r="592" spans="1:13" x14ac:dyDescent="0.3">
      <c r="A592" s="16" t="s">
        <v>621</v>
      </c>
      <c r="B592" s="3">
        <v>46066</v>
      </c>
      <c r="C592" s="2" t="s">
        <v>40</v>
      </c>
      <c r="D592" s="2" t="s">
        <v>24</v>
      </c>
      <c r="E592" s="2" t="s">
        <v>10</v>
      </c>
      <c r="F592" s="2" t="s">
        <v>31</v>
      </c>
      <c r="G592" s="2">
        <v>99</v>
      </c>
      <c r="H592" s="4">
        <v>100</v>
      </c>
      <c r="I592" s="4">
        <v>9900</v>
      </c>
      <c r="J592" s="2">
        <v>100</v>
      </c>
      <c r="K592" s="2">
        <v>2</v>
      </c>
      <c r="L592" s="2">
        <v>8</v>
      </c>
      <c r="M592" s="17" t="s">
        <v>32</v>
      </c>
    </row>
    <row r="593" spans="1:13" x14ac:dyDescent="0.3">
      <c r="A593" s="16" t="s">
        <v>622</v>
      </c>
      <c r="B593" s="3">
        <v>46115</v>
      </c>
      <c r="C593" s="2" t="s">
        <v>40</v>
      </c>
      <c r="D593" s="2" t="s">
        <v>24</v>
      </c>
      <c r="E593" s="2" t="s">
        <v>10</v>
      </c>
      <c r="F593" s="2" t="s">
        <v>21</v>
      </c>
      <c r="G593" s="2">
        <v>54</v>
      </c>
      <c r="H593" s="4">
        <v>10</v>
      </c>
      <c r="I593" s="4">
        <v>540</v>
      </c>
      <c r="J593" s="2">
        <v>79</v>
      </c>
      <c r="K593" s="2">
        <v>2</v>
      </c>
      <c r="L593" s="2">
        <v>9</v>
      </c>
      <c r="M593" s="17" t="s">
        <v>32</v>
      </c>
    </row>
    <row r="594" spans="1:13" x14ac:dyDescent="0.3">
      <c r="A594" s="16" t="s">
        <v>623</v>
      </c>
      <c r="B594" s="3">
        <v>46037</v>
      </c>
      <c r="C594" s="2" t="s">
        <v>27</v>
      </c>
      <c r="D594" s="2" t="s">
        <v>19</v>
      </c>
      <c r="E594" s="2" t="s">
        <v>24</v>
      </c>
      <c r="F594" s="2" t="s">
        <v>17</v>
      </c>
      <c r="G594" s="2">
        <v>10</v>
      </c>
      <c r="H594" s="4">
        <v>250</v>
      </c>
      <c r="I594" s="4">
        <v>2500</v>
      </c>
      <c r="J594" s="2">
        <v>83</v>
      </c>
      <c r="K594" s="2">
        <v>4</v>
      </c>
      <c r="L594" s="2">
        <v>14</v>
      </c>
      <c r="M594" s="17" t="s">
        <v>22</v>
      </c>
    </row>
    <row r="595" spans="1:13" x14ac:dyDescent="0.3">
      <c r="A595" s="16" t="s">
        <v>624</v>
      </c>
      <c r="B595" s="3">
        <v>46072</v>
      </c>
      <c r="C595" s="2" t="s">
        <v>30</v>
      </c>
      <c r="D595" s="2" t="s">
        <v>28</v>
      </c>
      <c r="E595" s="2" t="s">
        <v>42</v>
      </c>
      <c r="F595" s="2" t="s">
        <v>17</v>
      </c>
      <c r="G595" s="2">
        <v>29</v>
      </c>
      <c r="H595" s="4">
        <v>250</v>
      </c>
      <c r="I595" s="4">
        <v>7250</v>
      </c>
      <c r="J595" s="2">
        <v>76</v>
      </c>
      <c r="K595" s="2">
        <v>4</v>
      </c>
      <c r="L595" s="2">
        <v>3</v>
      </c>
      <c r="M595" s="17" t="s">
        <v>22</v>
      </c>
    </row>
    <row r="596" spans="1:13" x14ac:dyDescent="0.3">
      <c r="A596" s="16" t="s">
        <v>625</v>
      </c>
      <c r="B596" s="3">
        <v>46099</v>
      </c>
      <c r="C596" s="2" t="s">
        <v>14</v>
      </c>
      <c r="D596" s="2" t="s">
        <v>19</v>
      </c>
      <c r="E596" s="2" t="s">
        <v>20</v>
      </c>
      <c r="F596" s="2" t="s">
        <v>17</v>
      </c>
      <c r="G596" s="2">
        <v>67</v>
      </c>
      <c r="H596" s="4">
        <v>250</v>
      </c>
      <c r="I596" s="4">
        <v>16750</v>
      </c>
      <c r="J596" s="2">
        <v>96</v>
      </c>
      <c r="K596" s="2">
        <v>2</v>
      </c>
      <c r="L596" s="2">
        <v>3</v>
      </c>
      <c r="M596" s="17" t="s">
        <v>22</v>
      </c>
    </row>
    <row r="597" spans="1:13" x14ac:dyDescent="0.3">
      <c r="A597" s="16" t="s">
        <v>626</v>
      </c>
      <c r="B597" s="3">
        <v>46107</v>
      </c>
      <c r="C597" s="2" t="s">
        <v>30</v>
      </c>
      <c r="D597" s="2" t="s">
        <v>19</v>
      </c>
      <c r="E597" s="2" t="s">
        <v>24</v>
      </c>
      <c r="F597" s="2" t="s">
        <v>17</v>
      </c>
      <c r="G597" s="2">
        <v>23</v>
      </c>
      <c r="H597" s="4">
        <v>100</v>
      </c>
      <c r="I597" s="4">
        <v>2300</v>
      </c>
      <c r="J597" s="2">
        <v>75</v>
      </c>
      <c r="K597" s="2">
        <v>5</v>
      </c>
      <c r="L597" s="2">
        <v>13</v>
      </c>
      <c r="M597" s="17" t="s">
        <v>22</v>
      </c>
    </row>
    <row r="598" spans="1:13" x14ac:dyDescent="0.3">
      <c r="A598" s="16" t="s">
        <v>627</v>
      </c>
      <c r="B598" s="3">
        <v>46076</v>
      </c>
      <c r="C598" s="2" t="s">
        <v>40</v>
      </c>
      <c r="D598" s="2" t="s">
        <v>28</v>
      </c>
      <c r="E598" s="2" t="s">
        <v>20</v>
      </c>
      <c r="F598" s="2" t="s">
        <v>25</v>
      </c>
      <c r="G598" s="2">
        <v>39</v>
      </c>
      <c r="H598" s="4">
        <v>5</v>
      </c>
      <c r="I598" s="4">
        <v>195</v>
      </c>
      <c r="J598" s="2">
        <v>74</v>
      </c>
      <c r="K598" s="2">
        <v>4</v>
      </c>
      <c r="L598" s="2">
        <v>13</v>
      </c>
      <c r="M598" s="17" t="s">
        <v>22</v>
      </c>
    </row>
    <row r="599" spans="1:13" x14ac:dyDescent="0.3">
      <c r="A599" s="16" t="s">
        <v>628</v>
      </c>
      <c r="B599" s="3">
        <v>46075</v>
      </c>
      <c r="C599" s="2" t="s">
        <v>8</v>
      </c>
      <c r="D599" s="2" t="s">
        <v>24</v>
      </c>
      <c r="E599" s="2" t="s">
        <v>42</v>
      </c>
      <c r="F599" s="2" t="s">
        <v>25</v>
      </c>
      <c r="G599" s="2">
        <v>55</v>
      </c>
      <c r="H599" s="4">
        <v>5</v>
      </c>
      <c r="I599" s="4">
        <v>275</v>
      </c>
      <c r="J599" s="2">
        <v>86</v>
      </c>
      <c r="K599" s="2">
        <v>2</v>
      </c>
      <c r="L599" s="2">
        <v>19</v>
      </c>
      <c r="M599" s="17" t="s">
        <v>22</v>
      </c>
    </row>
    <row r="600" spans="1:13" x14ac:dyDescent="0.3">
      <c r="A600" s="16" t="s">
        <v>629</v>
      </c>
      <c r="B600" s="3">
        <v>46106</v>
      </c>
      <c r="C600" s="2" t="s">
        <v>8</v>
      </c>
      <c r="D600" s="2" t="s">
        <v>15</v>
      </c>
      <c r="E600" s="2" t="s">
        <v>16</v>
      </c>
      <c r="F600" s="2" t="s">
        <v>31</v>
      </c>
      <c r="G600" s="2">
        <v>20</v>
      </c>
      <c r="H600" s="4">
        <v>100</v>
      </c>
      <c r="I600" s="4">
        <v>2000</v>
      </c>
      <c r="J600" s="2">
        <v>77</v>
      </c>
      <c r="K600" s="2">
        <v>2</v>
      </c>
      <c r="L600" s="2">
        <v>18</v>
      </c>
      <c r="M600" s="17" t="s">
        <v>22</v>
      </c>
    </row>
    <row r="601" spans="1:13" x14ac:dyDescent="0.3">
      <c r="A601" s="26" t="s">
        <v>630</v>
      </c>
      <c r="B601" s="22">
        <v>46027</v>
      </c>
      <c r="C601" s="23" t="s">
        <v>35</v>
      </c>
      <c r="D601" s="23" t="s">
        <v>28</v>
      </c>
      <c r="E601" s="23" t="s">
        <v>42</v>
      </c>
      <c r="F601" s="23" t="s">
        <v>25</v>
      </c>
      <c r="G601" s="23">
        <v>10</v>
      </c>
      <c r="H601" s="24">
        <v>10</v>
      </c>
      <c r="I601" s="24">
        <v>100</v>
      </c>
      <c r="J601" s="23">
        <v>91</v>
      </c>
      <c r="K601" s="23">
        <v>4</v>
      </c>
      <c r="L601" s="23">
        <v>15</v>
      </c>
      <c r="M601" s="25" t="s">
        <v>32</v>
      </c>
    </row>
    <row r="604" spans="1:13" ht="18" x14ac:dyDescent="0.35">
      <c r="A604" s="6" t="s">
        <v>637</v>
      </c>
      <c r="B604" s="120" t="s">
        <v>651</v>
      </c>
      <c r="C604" s="120"/>
      <c r="D604" s="120"/>
      <c r="E604" s="120"/>
    </row>
    <row r="606" spans="1:13" x14ac:dyDescent="0.3">
      <c r="A606" s="134" t="s">
        <v>638</v>
      </c>
      <c r="B606" s="135"/>
      <c r="C606" s="135"/>
      <c r="D606" s="135"/>
      <c r="E606" s="136"/>
    </row>
    <row r="607" spans="1:13" x14ac:dyDescent="0.3">
      <c r="A607" s="137"/>
      <c r="B607" s="138"/>
      <c r="C607" s="138"/>
      <c r="D607" s="138"/>
      <c r="E607" s="139"/>
    </row>
    <row r="608" spans="1:13" ht="15.6" x14ac:dyDescent="0.3">
      <c r="A608" s="7" t="s">
        <v>639</v>
      </c>
      <c r="B608" s="8"/>
      <c r="C608" s="8"/>
      <c r="D608" s="140">
        <f>COUNTA(A2:A601)</f>
        <v>600</v>
      </c>
      <c r="E608" s="141"/>
    </row>
    <row r="609" spans="1:6" ht="15.6" x14ac:dyDescent="0.3">
      <c r="A609" s="9" t="s">
        <v>640</v>
      </c>
      <c r="B609" s="10"/>
      <c r="C609" s="10"/>
      <c r="D609" s="121">
        <f>COUNTA(A595:M595)</f>
        <v>13</v>
      </c>
      <c r="E609" s="121"/>
    </row>
    <row r="610" spans="1:6" ht="15.6" x14ac:dyDescent="0.3">
      <c r="A610" s="9" t="s">
        <v>641</v>
      </c>
      <c r="B610" s="10"/>
      <c r="C610" s="10"/>
      <c r="D610" s="121">
        <v>1</v>
      </c>
      <c r="E610" s="121"/>
    </row>
    <row r="611" spans="1:6" ht="15.6" x14ac:dyDescent="0.3">
      <c r="A611" s="9" t="s">
        <v>642</v>
      </c>
      <c r="B611" s="10"/>
      <c r="C611" s="10"/>
      <c r="D611" s="121">
        <v>1</v>
      </c>
      <c r="E611" s="121"/>
    </row>
    <row r="612" spans="1:6" ht="15.6" x14ac:dyDescent="0.3">
      <c r="A612" s="9" t="s">
        <v>643</v>
      </c>
      <c r="B612" s="10"/>
      <c r="C612" s="10"/>
      <c r="D612" s="121" t="s">
        <v>646</v>
      </c>
      <c r="E612" s="121"/>
    </row>
    <row r="613" spans="1:6" ht="15.6" x14ac:dyDescent="0.3">
      <c r="A613" s="9" t="s">
        <v>644</v>
      </c>
      <c r="B613" s="10"/>
      <c r="C613" s="10"/>
      <c r="D613" s="121">
        <v>0</v>
      </c>
      <c r="E613" s="121"/>
    </row>
    <row r="614" spans="1:6" ht="15.6" x14ac:dyDescent="0.3">
      <c r="A614" s="122" t="s">
        <v>645</v>
      </c>
      <c r="B614" s="123"/>
      <c r="C614" s="123"/>
      <c r="D614" s="123"/>
      <c r="E614" s="124"/>
    </row>
    <row r="615" spans="1:6" x14ac:dyDescent="0.3">
      <c r="A615" s="125" t="s">
        <v>648</v>
      </c>
      <c r="B615" s="126"/>
      <c r="C615" s="126"/>
      <c r="D615" s="126"/>
      <c r="E615" s="127"/>
    </row>
    <row r="616" spans="1:6" x14ac:dyDescent="0.3">
      <c r="A616" s="128"/>
      <c r="B616" s="129"/>
      <c r="C616" s="129"/>
      <c r="D616" s="129"/>
      <c r="E616" s="130"/>
    </row>
    <row r="617" spans="1:6" x14ac:dyDescent="0.3">
      <c r="A617" s="128"/>
      <c r="B617" s="129"/>
      <c r="C617" s="129"/>
      <c r="D617" s="129"/>
      <c r="E617" s="130"/>
    </row>
    <row r="618" spans="1:6" x14ac:dyDescent="0.3">
      <c r="A618" s="128"/>
      <c r="B618" s="129"/>
      <c r="C618" s="129"/>
      <c r="D618" s="129"/>
      <c r="E618" s="130"/>
    </row>
    <row r="619" spans="1:6" x14ac:dyDescent="0.3">
      <c r="A619" s="128"/>
      <c r="B619" s="129"/>
      <c r="C619" s="129"/>
      <c r="D619" s="129"/>
      <c r="E619" s="130"/>
    </row>
    <row r="620" spans="1:6" x14ac:dyDescent="0.3">
      <c r="A620" s="128"/>
      <c r="B620" s="129"/>
      <c r="C620" s="129"/>
      <c r="D620" s="129"/>
      <c r="E620" s="130"/>
    </row>
    <row r="621" spans="1:6" x14ac:dyDescent="0.3">
      <c r="A621" s="131"/>
      <c r="B621" s="132"/>
      <c r="C621" s="132"/>
      <c r="D621" s="132"/>
      <c r="E621" s="133"/>
    </row>
    <row r="623" spans="1:6" ht="18" x14ac:dyDescent="0.3">
      <c r="A623" s="33" t="s">
        <v>655</v>
      </c>
      <c r="B623" s="12"/>
      <c r="C623" s="12"/>
      <c r="D623" s="12"/>
      <c r="E623" s="12"/>
      <c r="F623" s="30"/>
    </row>
    <row r="624" spans="1:6" x14ac:dyDescent="0.3">
      <c r="A624" s="34"/>
      <c r="B624" s="13"/>
      <c r="C624" s="13"/>
      <c r="D624" s="13"/>
      <c r="E624" s="13"/>
      <c r="F624" s="31"/>
    </row>
    <row r="625" spans="1:9" ht="15" x14ac:dyDescent="0.3">
      <c r="A625" s="35" t="s">
        <v>660</v>
      </c>
      <c r="B625" s="13"/>
      <c r="C625" s="13"/>
      <c r="D625" s="13"/>
      <c r="E625" s="13"/>
      <c r="F625" s="31"/>
    </row>
    <row r="626" spans="1:9" ht="15" x14ac:dyDescent="0.3">
      <c r="A626" s="35" t="s">
        <v>661</v>
      </c>
      <c r="B626" s="13"/>
      <c r="C626" s="13"/>
      <c r="D626" s="13"/>
      <c r="E626" s="13"/>
      <c r="F626" s="31"/>
    </row>
    <row r="627" spans="1:9" ht="15" x14ac:dyDescent="0.3">
      <c r="A627" s="35" t="s">
        <v>662</v>
      </c>
      <c r="B627" s="13"/>
      <c r="C627" s="13"/>
      <c r="D627" s="13"/>
      <c r="E627" s="13"/>
      <c r="F627" s="31"/>
    </row>
    <row r="628" spans="1:9" x14ac:dyDescent="0.3">
      <c r="A628" s="14"/>
      <c r="B628" s="15"/>
      <c r="C628" s="15"/>
      <c r="D628" s="15"/>
      <c r="E628" s="15"/>
      <c r="F628" s="32"/>
    </row>
    <row r="631" spans="1:9" ht="18" x14ac:dyDescent="0.35">
      <c r="A631" s="6" t="s">
        <v>649</v>
      </c>
      <c r="B631" s="120" t="s">
        <v>650</v>
      </c>
      <c r="C631" s="120"/>
      <c r="D631" s="120"/>
      <c r="E631" s="120"/>
    </row>
    <row r="632" spans="1:9" s="11" customFormat="1" ht="15.6" x14ac:dyDescent="0.3">
      <c r="H632" s="29"/>
      <c r="I632" s="29"/>
    </row>
    <row r="633" spans="1:9" s="11" customFormat="1" ht="23.4" customHeight="1" x14ac:dyDescent="0.3">
      <c r="A633" s="114" t="s">
        <v>654</v>
      </c>
      <c r="B633" s="115"/>
      <c r="C633" s="115"/>
      <c r="D633" s="115"/>
      <c r="E633" s="115"/>
      <c r="F633" s="115"/>
      <c r="G633" s="115"/>
      <c r="H633" s="116"/>
      <c r="I633" s="29"/>
    </row>
    <row r="634" spans="1:9" s="11" customFormat="1" ht="15.6" x14ac:dyDescent="0.3">
      <c r="A634" s="36"/>
      <c r="B634" s="37"/>
      <c r="C634" s="37"/>
      <c r="D634" s="37"/>
      <c r="E634" s="37"/>
      <c r="F634" s="37"/>
      <c r="G634" s="37"/>
      <c r="H634" s="38"/>
      <c r="I634" s="29"/>
    </row>
    <row r="635" spans="1:9" s="11" customFormat="1" ht="38.4" customHeight="1" x14ac:dyDescent="0.3">
      <c r="A635" s="117" t="s">
        <v>656</v>
      </c>
      <c r="B635" s="118"/>
      <c r="C635" s="118"/>
      <c r="D635" s="118"/>
      <c r="E635" s="118"/>
      <c r="F635" s="118"/>
      <c r="G635" s="118"/>
      <c r="H635" s="119"/>
      <c r="I635" s="29"/>
    </row>
    <row r="636" spans="1:9" s="11" customFormat="1" ht="15.6" x14ac:dyDescent="0.3">
      <c r="A636" s="36" t="s">
        <v>657</v>
      </c>
      <c r="B636" s="37"/>
      <c r="C636" s="37"/>
      <c r="D636" s="37"/>
      <c r="E636" s="37"/>
      <c r="F636" s="37"/>
      <c r="G636" s="37"/>
      <c r="H636" s="38"/>
      <c r="I636" s="29"/>
    </row>
    <row r="637" spans="1:9" s="11" customFormat="1" ht="15.6" x14ac:dyDescent="0.3">
      <c r="A637" s="36" t="s">
        <v>658</v>
      </c>
      <c r="B637" s="37"/>
      <c r="C637" s="37"/>
      <c r="D637" s="37"/>
      <c r="E637" s="37"/>
      <c r="F637" s="37"/>
      <c r="G637" s="37"/>
      <c r="H637" s="38"/>
      <c r="I637" s="29"/>
    </row>
    <row r="638" spans="1:9" s="11" customFormat="1" ht="15.6" x14ac:dyDescent="0.3">
      <c r="A638" s="36" t="s">
        <v>659</v>
      </c>
      <c r="B638" s="37"/>
      <c r="C638" s="37"/>
      <c r="D638" s="37"/>
      <c r="E638" s="37"/>
      <c r="F638" s="37"/>
      <c r="G638" s="37"/>
      <c r="H638" s="38"/>
      <c r="I638" s="29"/>
    </row>
    <row r="639" spans="1:9" s="11" customFormat="1" ht="15.6" x14ac:dyDescent="0.3">
      <c r="A639" s="39"/>
      <c r="B639" s="40"/>
      <c r="C639" s="40"/>
      <c r="D639" s="40"/>
      <c r="E639" s="40"/>
      <c r="F639" s="40"/>
      <c r="G639" s="40"/>
      <c r="H639" s="41"/>
      <c r="I639" s="29"/>
    </row>
    <row r="640" spans="1:9" s="11" customFormat="1" ht="15.6" x14ac:dyDescent="0.3">
      <c r="H640" s="29"/>
      <c r="I640" s="29"/>
    </row>
    <row r="641" spans="1:16" s="11" customFormat="1" ht="15.6" x14ac:dyDescent="0.3">
      <c r="H641" s="29"/>
      <c r="I641" s="29"/>
    </row>
    <row r="642" spans="1:16" s="11" customFormat="1" ht="15.6" x14ac:dyDescent="0.3">
      <c r="H642" s="29"/>
      <c r="I642" s="29"/>
    </row>
    <row r="643" spans="1:16" s="11" customFormat="1" ht="15.6" x14ac:dyDescent="0.3">
      <c r="H643" s="29"/>
      <c r="I643" s="29"/>
    </row>
    <row r="644" spans="1:16" s="11" customFormat="1" ht="15.6" x14ac:dyDescent="0.3">
      <c r="A644" s="52"/>
      <c r="B644"/>
      <c r="C644"/>
      <c r="D644"/>
      <c r="E644"/>
      <c r="F644"/>
      <c r="G644"/>
      <c r="H644"/>
      <c r="I644"/>
      <c r="J644"/>
      <c r="K644"/>
      <c r="L644"/>
      <c r="M644"/>
      <c r="N644"/>
      <c r="O644"/>
      <c r="P644"/>
    </row>
    <row r="645" spans="1:16" s="11" customFormat="1" ht="15.6" x14ac:dyDescent="0.3"/>
    <row r="646" spans="1:16" s="11" customFormat="1" ht="18" customHeight="1" x14ac:dyDescent="0.3"/>
    <row r="647" spans="1:16" s="11" customFormat="1" ht="18" customHeight="1" x14ac:dyDescent="0.3"/>
    <row r="648" spans="1:16" s="11" customFormat="1" ht="18" customHeight="1" x14ac:dyDescent="0.3"/>
    <row r="649" spans="1:16" s="11" customFormat="1" ht="18" customHeight="1" x14ac:dyDescent="0.3"/>
    <row r="650" spans="1:16" s="11" customFormat="1" ht="18" customHeight="1" x14ac:dyDescent="0.3"/>
    <row r="651" spans="1:16" s="11" customFormat="1" ht="18" customHeight="1" x14ac:dyDescent="0.3"/>
    <row r="652" spans="1:16" s="11" customFormat="1" ht="18" customHeight="1" x14ac:dyDescent="0.3"/>
    <row r="653" spans="1:16" s="11" customFormat="1" ht="18" customHeight="1" x14ac:dyDescent="0.3"/>
    <row r="654" spans="1:16" s="11" customFormat="1" ht="18" customHeight="1" x14ac:dyDescent="0.3"/>
    <row r="655" spans="1:16" s="11" customFormat="1" ht="18" customHeight="1" x14ac:dyDescent="0.3"/>
    <row r="656" spans="1:16" s="11" customFormat="1" ht="18" customHeight="1" x14ac:dyDescent="0.3"/>
    <row r="657" s="11" customFormat="1" ht="18" customHeight="1" x14ac:dyDescent="0.3"/>
    <row r="658" s="11" customFormat="1" ht="18" customHeight="1" x14ac:dyDescent="0.3"/>
    <row r="659" s="11" customFormat="1" ht="18" customHeight="1" x14ac:dyDescent="0.3"/>
    <row r="660" s="11" customFormat="1" ht="18" customHeight="1" x14ac:dyDescent="0.3"/>
    <row r="661" s="11" customFormat="1" ht="18" customHeight="1" x14ac:dyDescent="0.3"/>
    <row r="662" s="11" customFormat="1" ht="18" customHeight="1" x14ac:dyDescent="0.3"/>
    <row r="663" s="11" customFormat="1" ht="18" customHeight="1" x14ac:dyDescent="0.3"/>
    <row r="664" s="11" customFormat="1" ht="18" customHeight="1" x14ac:dyDescent="0.3"/>
    <row r="665" s="11" customFormat="1" ht="18" customHeight="1" x14ac:dyDescent="0.3"/>
    <row r="666" s="11" customFormat="1" ht="18" customHeight="1" x14ac:dyDescent="0.3"/>
    <row r="667" s="11" customFormat="1" ht="18" customHeight="1" x14ac:dyDescent="0.3"/>
    <row r="668" s="11" customFormat="1" ht="18" customHeight="1" x14ac:dyDescent="0.3"/>
    <row r="669" s="11" customFormat="1" ht="18" customHeight="1" x14ac:dyDescent="0.3"/>
    <row r="670" s="11" customFormat="1" ht="18" customHeight="1" x14ac:dyDescent="0.3"/>
    <row r="671" s="11" customFormat="1" ht="18" customHeight="1" x14ac:dyDescent="0.3"/>
    <row r="672" s="11" customFormat="1" ht="18" customHeight="1" x14ac:dyDescent="0.3"/>
    <row r="673" spans="8:9" s="11" customFormat="1" ht="18" customHeight="1" x14ac:dyDescent="0.3"/>
    <row r="674" spans="8:9" s="11" customFormat="1" ht="15.6" x14ac:dyDescent="0.3">
      <c r="H674" s="29"/>
      <c r="I674" s="29"/>
    </row>
    <row r="675" spans="8:9" s="11" customFormat="1" ht="15.6" x14ac:dyDescent="0.3">
      <c r="H675" s="29"/>
      <c r="I675" s="29"/>
    </row>
    <row r="676" spans="8:9" s="11" customFormat="1" ht="15.6" x14ac:dyDescent="0.3">
      <c r="H676" s="29"/>
      <c r="I676" s="29"/>
    </row>
    <row r="677" spans="8:9" s="11" customFormat="1" ht="15.6" x14ac:dyDescent="0.3">
      <c r="H677" s="29"/>
      <c r="I677" s="29"/>
    </row>
    <row r="678" spans="8:9" s="11" customFormat="1" ht="15.6" x14ac:dyDescent="0.3">
      <c r="H678" s="29"/>
      <c r="I678" s="29"/>
    </row>
    <row r="679" spans="8:9" s="11" customFormat="1" ht="15.6" x14ac:dyDescent="0.3">
      <c r="H679" s="29"/>
      <c r="I679" s="29"/>
    </row>
    <row r="680" spans="8:9" s="11" customFormat="1" ht="15.6" x14ac:dyDescent="0.3">
      <c r="H680" s="29"/>
      <c r="I680" s="29"/>
    </row>
    <row r="681" spans="8:9" s="11" customFormat="1" ht="15.6" x14ac:dyDescent="0.3">
      <c r="H681" s="29"/>
      <c r="I681" s="29"/>
    </row>
    <row r="682" spans="8:9" s="11" customFormat="1" ht="15.6" x14ac:dyDescent="0.3">
      <c r="H682" s="29"/>
      <c r="I682" s="29"/>
    </row>
    <row r="683" spans="8:9" s="11" customFormat="1" ht="15.6" x14ac:dyDescent="0.3">
      <c r="H683" s="29"/>
      <c r="I683" s="29"/>
    </row>
    <row r="684" spans="8:9" s="11" customFormat="1" ht="15.6" x14ac:dyDescent="0.3">
      <c r="H684" s="29"/>
      <c r="I684" s="29"/>
    </row>
    <row r="685" spans="8:9" s="11" customFormat="1" ht="15.6" x14ac:dyDescent="0.3">
      <c r="H685" s="29"/>
      <c r="I685" s="29"/>
    </row>
    <row r="686" spans="8:9" s="11" customFormat="1" ht="15.6" x14ac:dyDescent="0.3">
      <c r="H686" s="29"/>
      <c r="I686" s="29"/>
    </row>
    <row r="687" spans="8:9" s="11" customFormat="1" ht="15.6" x14ac:dyDescent="0.3">
      <c r="H687" s="29"/>
      <c r="I687" s="29"/>
    </row>
  </sheetData>
  <mergeCells count="71">
    <mergeCell ref="P3:Q3"/>
    <mergeCell ref="P192:Q192"/>
    <mergeCell ref="P219:T220"/>
    <mergeCell ref="U219:X220"/>
    <mergeCell ref="P199:X200"/>
    <mergeCell ref="U201:X202"/>
    <mergeCell ref="U203:X204"/>
    <mergeCell ref="P217:T218"/>
    <mergeCell ref="U205:X206"/>
    <mergeCell ref="U207:X208"/>
    <mergeCell ref="U215:X216"/>
    <mergeCell ref="U217:X218"/>
    <mergeCell ref="P223:T224"/>
    <mergeCell ref="U223:X224"/>
    <mergeCell ref="P227:T228"/>
    <mergeCell ref="U227:X228"/>
    <mergeCell ref="P233:T234"/>
    <mergeCell ref="U225:X226"/>
    <mergeCell ref="P225:T226"/>
    <mergeCell ref="P229:T230"/>
    <mergeCell ref="P231:T232"/>
    <mergeCell ref="U229:X230"/>
    <mergeCell ref="U231:X232"/>
    <mergeCell ref="U233:X234"/>
    <mergeCell ref="P221:T222"/>
    <mergeCell ref="P4:X4"/>
    <mergeCell ref="P1:X1"/>
    <mergeCell ref="P201:T202"/>
    <mergeCell ref="P203:T204"/>
    <mergeCell ref="P205:T206"/>
    <mergeCell ref="P207:T208"/>
    <mergeCell ref="P209:T210"/>
    <mergeCell ref="P211:T212"/>
    <mergeCell ref="P213:T214"/>
    <mergeCell ref="P215:T216"/>
    <mergeCell ref="U221:X222"/>
    <mergeCell ref="U209:X210"/>
    <mergeCell ref="U211:X212"/>
    <mergeCell ref="U213:X214"/>
    <mergeCell ref="P194:X195"/>
    <mergeCell ref="P259:Q259"/>
    <mergeCell ref="A633:H633"/>
    <mergeCell ref="A635:H635"/>
    <mergeCell ref="B631:E631"/>
    <mergeCell ref="B604:E604"/>
    <mergeCell ref="D613:E613"/>
    <mergeCell ref="A614:E614"/>
    <mergeCell ref="A615:E621"/>
    <mergeCell ref="A606:E607"/>
    <mergeCell ref="D608:E608"/>
    <mergeCell ref="D609:E609"/>
    <mergeCell ref="D610:E610"/>
    <mergeCell ref="D611:E611"/>
    <mergeCell ref="D612:E612"/>
    <mergeCell ref="P262:X263"/>
    <mergeCell ref="P268:Z292"/>
    <mergeCell ref="P238:X238"/>
    <mergeCell ref="P248:R248"/>
    <mergeCell ref="P249:R249"/>
    <mergeCell ref="P250:R250"/>
    <mergeCell ref="P251:R251"/>
    <mergeCell ref="P239:R239"/>
    <mergeCell ref="P240:R240"/>
    <mergeCell ref="P241:R241"/>
    <mergeCell ref="P242:R242"/>
    <mergeCell ref="P243:R243"/>
    <mergeCell ref="P255:R255"/>
    <mergeCell ref="P254:R254"/>
    <mergeCell ref="P252:R252"/>
    <mergeCell ref="P253:R253"/>
    <mergeCell ref="P247:X247"/>
  </mergeCells>
  <pageMargins left="0.75" right="0.75" top="1" bottom="1" header="0.5" footer="0.5"/>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8D860-C0AB-4E4B-AC6F-921DD7239FFD}">
  <dimension ref="A1:Q106"/>
  <sheetViews>
    <sheetView tabSelected="1" zoomScaleNormal="100" workbookViewId="0">
      <selection activeCell="G104" sqref="G104"/>
    </sheetView>
  </sheetViews>
  <sheetFormatPr defaultRowHeight="14.4" x14ac:dyDescent="0.3"/>
  <sheetData>
    <row r="1" spans="1:17" ht="31.2" x14ac:dyDescent="0.3">
      <c r="A1" s="221" t="s">
        <v>749</v>
      </c>
      <c r="B1" s="221"/>
      <c r="C1" s="221"/>
      <c r="D1" s="221"/>
      <c r="E1" s="221"/>
      <c r="F1" s="221"/>
      <c r="G1" s="221"/>
      <c r="H1" s="221"/>
      <c r="I1" s="221"/>
      <c r="J1" s="221"/>
      <c r="K1" s="221"/>
      <c r="L1" s="221"/>
      <c r="M1" s="221"/>
      <c r="N1" s="221"/>
      <c r="O1" s="221"/>
      <c r="P1" s="221"/>
      <c r="Q1" s="221"/>
    </row>
    <row r="2" spans="1:17" x14ac:dyDescent="0.3">
      <c r="A2" s="90"/>
      <c r="B2" s="90"/>
      <c r="C2" s="90"/>
      <c r="D2" s="90"/>
      <c r="E2" s="90"/>
      <c r="F2" s="90"/>
      <c r="G2" s="90"/>
      <c r="H2" s="90"/>
      <c r="I2" s="90"/>
      <c r="J2" s="90"/>
      <c r="K2" s="90"/>
      <c r="L2" s="90"/>
      <c r="M2" s="90"/>
      <c r="N2" s="90"/>
      <c r="O2" s="90"/>
      <c r="P2" s="90"/>
      <c r="Q2" s="90"/>
    </row>
    <row r="3" spans="1:17" ht="28.8" x14ac:dyDescent="0.3">
      <c r="A3" s="222" t="s">
        <v>750</v>
      </c>
      <c r="B3" s="222"/>
      <c r="C3" s="222"/>
      <c r="D3" s="222"/>
      <c r="E3" s="222"/>
      <c r="F3" s="222"/>
      <c r="G3" s="222"/>
      <c r="H3" s="222"/>
      <c r="I3" s="222"/>
      <c r="J3" s="222"/>
      <c r="K3" s="222"/>
      <c r="L3" s="222"/>
      <c r="M3" s="222"/>
      <c r="N3" s="222"/>
      <c r="O3" s="222"/>
      <c r="P3" s="222"/>
      <c r="Q3" s="222"/>
    </row>
    <row r="7" spans="1:17" ht="23.4" x14ac:dyDescent="0.3">
      <c r="A7" s="92" t="s">
        <v>751</v>
      </c>
    </row>
    <row r="8" spans="1:17" ht="15.6" x14ac:dyDescent="0.3">
      <c r="A8" s="91"/>
    </row>
    <row r="9" spans="1:17" ht="15.6" customHeight="1" x14ac:dyDescent="0.3">
      <c r="A9" s="223" t="s">
        <v>752</v>
      </c>
      <c r="B9" s="223"/>
      <c r="C9" s="223"/>
      <c r="D9" s="223"/>
      <c r="E9" s="223"/>
      <c r="F9" s="223"/>
      <c r="G9" s="223"/>
      <c r="H9" s="223"/>
      <c r="I9" s="223"/>
      <c r="J9" s="223"/>
      <c r="K9" s="223"/>
      <c r="L9" s="223"/>
      <c r="M9" s="223"/>
      <c r="N9" s="223"/>
      <c r="O9" s="223"/>
      <c r="P9" s="223"/>
      <c r="Q9" s="223"/>
    </row>
    <row r="10" spans="1:17" ht="15.6" customHeight="1" x14ac:dyDescent="0.3">
      <c r="A10" s="223"/>
      <c r="B10" s="223"/>
      <c r="C10" s="223"/>
      <c r="D10" s="223"/>
      <c r="E10" s="223"/>
      <c r="F10" s="223"/>
      <c r="G10" s="223"/>
      <c r="H10" s="223"/>
      <c r="I10" s="223"/>
      <c r="J10" s="223"/>
      <c r="K10" s="223"/>
      <c r="L10" s="223"/>
      <c r="M10" s="223"/>
      <c r="N10" s="223"/>
      <c r="O10" s="223"/>
      <c r="P10" s="223"/>
      <c r="Q10" s="223"/>
    </row>
    <row r="11" spans="1:17" ht="15.6" customHeight="1" x14ac:dyDescent="0.3">
      <c r="A11" s="223"/>
      <c r="B11" s="223"/>
      <c r="C11" s="223"/>
      <c r="D11" s="223"/>
      <c r="E11" s="223"/>
      <c r="F11" s="223"/>
      <c r="G11" s="223"/>
      <c r="H11" s="223"/>
      <c r="I11" s="223"/>
      <c r="J11" s="223"/>
      <c r="K11" s="223"/>
      <c r="L11" s="223"/>
      <c r="M11" s="223"/>
      <c r="N11" s="223"/>
      <c r="O11" s="223"/>
      <c r="P11" s="223"/>
      <c r="Q11" s="223"/>
    </row>
    <row r="12" spans="1:17" ht="15.6" customHeight="1" x14ac:dyDescent="0.3">
      <c r="A12" s="93"/>
      <c r="B12" s="93"/>
      <c r="C12" s="93"/>
      <c r="D12" s="93"/>
      <c r="E12" s="93"/>
      <c r="F12" s="93"/>
      <c r="G12" s="93"/>
      <c r="H12" s="93"/>
      <c r="I12" s="93"/>
      <c r="J12" s="93"/>
      <c r="K12" s="93"/>
      <c r="L12" s="93"/>
      <c r="M12" s="93"/>
      <c r="N12" s="93"/>
      <c r="O12" s="93"/>
      <c r="P12" s="93"/>
      <c r="Q12" s="93"/>
    </row>
    <row r="13" spans="1:17" ht="15.6" customHeight="1" x14ac:dyDescent="0.3">
      <c r="A13" s="93"/>
      <c r="B13" s="93"/>
      <c r="C13" s="93"/>
      <c r="D13" s="93"/>
      <c r="E13" s="93"/>
      <c r="F13" s="93"/>
      <c r="G13" s="93"/>
      <c r="H13" s="93"/>
      <c r="I13" s="93"/>
      <c r="J13" s="93"/>
      <c r="K13" s="93"/>
      <c r="L13" s="93"/>
      <c r="M13" s="93"/>
      <c r="N13" s="93"/>
      <c r="O13" s="93"/>
      <c r="P13" s="93"/>
      <c r="Q13" s="93"/>
    </row>
    <row r="14" spans="1:17" ht="15.6" x14ac:dyDescent="0.3">
      <c r="A14" s="11"/>
    </row>
    <row r="15" spans="1:17" ht="23.4" x14ac:dyDescent="0.3">
      <c r="A15" s="94" t="s">
        <v>753</v>
      </c>
    </row>
    <row r="16" spans="1:17" ht="15.6" x14ac:dyDescent="0.3">
      <c r="A16" s="91"/>
    </row>
    <row r="17" spans="1:1" ht="15.6" x14ac:dyDescent="0.3">
      <c r="A17" s="91" t="s">
        <v>754</v>
      </c>
    </row>
    <row r="18" spans="1:1" ht="15.6" x14ac:dyDescent="0.3">
      <c r="A18" s="91" t="s">
        <v>755</v>
      </c>
    </row>
    <row r="19" spans="1:1" ht="15.6" x14ac:dyDescent="0.3">
      <c r="A19" s="91" t="s">
        <v>756</v>
      </c>
    </row>
    <row r="20" spans="1:1" ht="15.6" x14ac:dyDescent="0.3">
      <c r="A20" s="91" t="s">
        <v>757</v>
      </c>
    </row>
    <row r="21" spans="1:1" ht="15.6" x14ac:dyDescent="0.3">
      <c r="A21" s="91" t="s">
        <v>758</v>
      </c>
    </row>
    <row r="22" spans="1:1" ht="15.6" x14ac:dyDescent="0.3">
      <c r="A22" s="91" t="s">
        <v>759</v>
      </c>
    </row>
    <row r="23" spans="1:1" ht="15.6" x14ac:dyDescent="0.3">
      <c r="A23" s="91" t="s">
        <v>760</v>
      </c>
    </row>
    <row r="24" spans="1:1" ht="15.6" x14ac:dyDescent="0.3">
      <c r="A24" s="91" t="s">
        <v>761</v>
      </c>
    </row>
    <row r="25" spans="1:1" ht="15.6" x14ac:dyDescent="0.3">
      <c r="A25" s="91" t="s">
        <v>762</v>
      </c>
    </row>
    <row r="26" spans="1:1" ht="15.6" x14ac:dyDescent="0.3">
      <c r="A26" s="91" t="s">
        <v>763</v>
      </c>
    </row>
    <row r="27" spans="1:1" ht="15.6" x14ac:dyDescent="0.3">
      <c r="A27" s="11"/>
    </row>
    <row r="28" spans="1:1" ht="15.6" x14ac:dyDescent="0.3">
      <c r="A28" s="11"/>
    </row>
    <row r="29" spans="1:1" ht="15.6" x14ac:dyDescent="0.3">
      <c r="A29" s="11"/>
    </row>
    <row r="30" spans="1:1" ht="23.4" x14ac:dyDescent="0.3">
      <c r="A30" s="94" t="s">
        <v>764</v>
      </c>
    </row>
    <row r="31" spans="1:1" ht="15.6" x14ac:dyDescent="0.3">
      <c r="A31" s="91"/>
    </row>
    <row r="32" spans="1:1" ht="15.6" x14ac:dyDescent="0.3">
      <c r="A32" s="91" t="s">
        <v>765</v>
      </c>
    </row>
    <row r="33" spans="1:1" ht="15.6" x14ac:dyDescent="0.3">
      <c r="A33" s="91" t="s">
        <v>766</v>
      </c>
    </row>
    <row r="34" spans="1:1" ht="15.6" x14ac:dyDescent="0.3">
      <c r="A34" s="91" t="s">
        <v>767</v>
      </c>
    </row>
    <row r="35" spans="1:1" ht="15.6" x14ac:dyDescent="0.3">
      <c r="A35" s="91" t="s">
        <v>768</v>
      </c>
    </row>
    <row r="36" spans="1:1" ht="15.6" x14ac:dyDescent="0.3">
      <c r="A36" s="91" t="s">
        <v>769</v>
      </c>
    </row>
    <row r="37" spans="1:1" ht="15.6" x14ac:dyDescent="0.3">
      <c r="A37" s="91" t="s">
        <v>650</v>
      </c>
    </row>
    <row r="38" spans="1:1" ht="15.6" x14ac:dyDescent="0.3">
      <c r="A38" s="91" t="s">
        <v>770</v>
      </c>
    </row>
    <row r="39" spans="1:1" ht="15.6" x14ac:dyDescent="0.3">
      <c r="A39" s="91" t="s">
        <v>771</v>
      </c>
    </row>
    <row r="40" spans="1:1" ht="15.6" x14ac:dyDescent="0.3">
      <c r="A40" s="11"/>
    </row>
    <row r="41" spans="1:1" ht="15.6" x14ac:dyDescent="0.3">
      <c r="A41" s="11"/>
    </row>
    <row r="42" spans="1:1" ht="15.6" x14ac:dyDescent="0.3">
      <c r="A42" s="11"/>
    </row>
    <row r="43" spans="1:1" ht="23.4" x14ac:dyDescent="0.3">
      <c r="A43" s="94" t="s">
        <v>772</v>
      </c>
    </row>
    <row r="44" spans="1:1" ht="15.6" x14ac:dyDescent="0.3">
      <c r="A44" s="11"/>
    </row>
    <row r="45" spans="1:1" ht="15.6" x14ac:dyDescent="0.3">
      <c r="A45" s="11" t="s">
        <v>792</v>
      </c>
    </row>
    <row r="46" spans="1:1" ht="15.6" x14ac:dyDescent="0.3">
      <c r="A46" s="91"/>
    </row>
    <row r="47" spans="1:1" ht="15.6" x14ac:dyDescent="0.3">
      <c r="A47" s="91" t="s">
        <v>773</v>
      </c>
    </row>
    <row r="48" spans="1:1" ht="15.6" x14ac:dyDescent="0.3">
      <c r="A48" s="91" t="s">
        <v>774</v>
      </c>
    </row>
    <row r="49" spans="1:1" ht="15.6" x14ac:dyDescent="0.3">
      <c r="A49" s="91" t="s">
        <v>775</v>
      </c>
    </row>
    <row r="50" spans="1:1" ht="15.6" x14ac:dyDescent="0.3">
      <c r="A50" s="91" t="s">
        <v>776</v>
      </c>
    </row>
    <row r="51" spans="1:1" ht="15.6" x14ac:dyDescent="0.3">
      <c r="A51" s="91" t="s">
        <v>777</v>
      </c>
    </row>
    <row r="52" spans="1:1" ht="15.6" x14ac:dyDescent="0.3">
      <c r="A52" s="91" t="s">
        <v>778</v>
      </c>
    </row>
    <row r="53" spans="1:1" ht="15.6" x14ac:dyDescent="0.3">
      <c r="A53" s="91" t="s">
        <v>779</v>
      </c>
    </row>
    <row r="55" spans="1:1" ht="15.6" x14ac:dyDescent="0.3">
      <c r="A55" s="11"/>
    </row>
    <row r="56" spans="1:1" ht="15.6" x14ac:dyDescent="0.3">
      <c r="A56" s="11"/>
    </row>
    <row r="57" spans="1:1" ht="23.4" x14ac:dyDescent="0.3">
      <c r="A57" s="94" t="s">
        <v>780</v>
      </c>
    </row>
    <row r="58" spans="1:1" ht="15.6" x14ac:dyDescent="0.3">
      <c r="A58" s="91"/>
    </row>
    <row r="59" spans="1:1" ht="15.6" x14ac:dyDescent="0.3">
      <c r="A59" s="91" t="s">
        <v>781</v>
      </c>
    </row>
    <row r="60" spans="1:1" ht="15.6" x14ac:dyDescent="0.3">
      <c r="A60" s="91" t="s">
        <v>782</v>
      </c>
    </row>
    <row r="61" spans="1:1" ht="15.6" x14ac:dyDescent="0.3">
      <c r="A61" s="91" t="s">
        <v>783</v>
      </c>
    </row>
    <row r="62" spans="1:1" ht="15.6" x14ac:dyDescent="0.3">
      <c r="A62" s="91" t="s">
        <v>784</v>
      </c>
    </row>
    <row r="63" spans="1:1" ht="15.6" x14ac:dyDescent="0.3">
      <c r="A63" s="91" t="s">
        <v>785</v>
      </c>
    </row>
    <row r="64" spans="1:1" ht="15.6" x14ac:dyDescent="0.3">
      <c r="A64" s="91" t="s">
        <v>768</v>
      </c>
    </row>
    <row r="65" spans="1:17" ht="15.6" x14ac:dyDescent="0.3">
      <c r="A65" s="91" t="s">
        <v>786</v>
      </c>
    </row>
    <row r="66" spans="1:17" ht="15.6" x14ac:dyDescent="0.3">
      <c r="A66" s="91" t="s">
        <v>771</v>
      </c>
    </row>
    <row r="67" spans="1:17" ht="15.6" x14ac:dyDescent="0.3">
      <c r="A67" s="91" t="s">
        <v>787</v>
      </c>
    </row>
    <row r="68" spans="1:17" ht="15.6" x14ac:dyDescent="0.3">
      <c r="A68" s="11"/>
    </row>
    <row r="69" spans="1:17" ht="15.6" x14ac:dyDescent="0.3">
      <c r="A69" s="11"/>
    </row>
    <row r="70" spans="1:17" ht="15.6" x14ac:dyDescent="0.3">
      <c r="A70" s="11"/>
    </row>
    <row r="71" spans="1:17" ht="23.4" x14ac:dyDescent="0.3">
      <c r="A71" s="94" t="s">
        <v>788</v>
      </c>
    </row>
    <row r="72" spans="1:17" ht="15.6" x14ac:dyDescent="0.3">
      <c r="A72" s="11"/>
    </row>
    <row r="73" spans="1:17" ht="15.6" customHeight="1" x14ac:dyDescent="0.3">
      <c r="A73" s="220" t="s">
        <v>789</v>
      </c>
      <c r="B73" s="220"/>
      <c r="C73" s="220"/>
      <c r="D73" s="220"/>
      <c r="E73" s="220"/>
      <c r="F73" s="220"/>
      <c r="G73" s="220"/>
      <c r="H73" s="220"/>
      <c r="I73" s="220"/>
      <c r="J73" s="220"/>
      <c r="K73" s="220"/>
      <c r="L73" s="220"/>
      <c r="M73" s="220"/>
      <c r="N73" s="220"/>
      <c r="O73" s="220"/>
      <c r="P73" s="220"/>
      <c r="Q73" s="220"/>
    </row>
    <row r="74" spans="1:17" ht="15.6" customHeight="1" x14ac:dyDescent="0.3">
      <c r="A74" s="220"/>
      <c r="B74" s="220"/>
      <c r="C74" s="220"/>
      <c r="D74" s="220"/>
      <c r="E74" s="220"/>
      <c r="F74" s="220"/>
      <c r="G74" s="220"/>
      <c r="H74" s="220"/>
      <c r="I74" s="220"/>
      <c r="J74" s="220"/>
      <c r="K74" s="220"/>
      <c r="L74" s="220"/>
      <c r="M74" s="220"/>
      <c r="N74" s="220"/>
      <c r="O74" s="220"/>
      <c r="P74" s="220"/>
      <c r="Q74" s="220"/>
    </row>
    <row r="75" spans="1:17" ht="15.6" customHeight="1" x14ac:dyDescent="0.3">
      <c r="A75" s="95"/>
      <c r="B75" s="95"/>
      <c r="C75" s="95"/>
      <c r="D75" s="95"/>
      <c r="E75" s="95"/>
      <c r="F75" s="95"/>
      <c r="G75" s="95"/>
      <c r="H75" s="95"/>
      <c r="I75" s="95"/>
      <c r="J75" s="95"/>
      <c r="K75" s="95"/>
      <c r="L75" s="95"/>
      <c r="M75" s="95"/>
      <c r="N75" s="95"/>
      <c r="O75" s="95"/>
      <c r="P75" s="95"/>
      <c r="Q75" s="95"/>
    </row>
    <row r="76" spans="1:17" ht="15.6" x14ac:dyDescent="0.3">
      <c r="A76" s="11"/>
    </row>
    <row r="77" spans="1:17" ht="15.6" x14ac:dyDescent="0.3">
      <c r="A77" s="11"/>
    </row>
    <row r="78" spans="1:17" ht="23.4" x14ac:dyDescent="0.3">
      <c r="A78" s="94" t="s">
        <v>790</v>
      </c>
    </row>
    <row r="79" spans="1:17" ht="15.6" x14ac:dyDescent="0.3">
      <c r="A79" s="91"/>
    </row>
    <row r="80" spans="1:17" ht="15.6" customHeight="1" x14ac:dyDescent="0.3">
      <c r="A80" s="223" t="s">
        <v>791</v>
      </c>
      <c r="B80" s="223"/>
      <c r="C80" s="223"/>
      <c r="D80" s="223"/>
      <c r="E80" s="223"/>
      <c r="F80" s="223"/>
      <c r="G80" s="223"/>
      <c r="H80" s="223"/>
      <c r="I80" s="223"/>
      <c r="J80" s="223"/>
      <c r="K80" s="223"/>
      <c r="L80" s="223"/>
      <c r="M80" s="223"/>
      <c r="N80" s="223"/>
      <c r="O80" s="223"/>
      <c r="P80" s="223"/>
      <c r="Q80" s="223"/>
    </row>
    <row r="81" spans="1:17" x14ac:dyDescent="0.3">
      <c r="A81" s="223"/>
      <c r="B81" s="223"/>
      <c r="C81" s="223"/>
      <c r="D81" s="223"/>
      <c r="E81" s="223"/>
      <c r="F81" s="223"/>
      <c r="G81" s="223"/>
      <c r="H81" s="223"/>
      <c r="I81" s="223"/>
      <c r="J81" s="223"/>
      <c r="K81" s="223"/>
      <c r="L81" s="223"/>
      <c r="M81" s="223"/>
      <c r="N81" s="223"/>
      <c r="O81" s="223"/>
      <c r="P81" s="223"/>
      <c r="Q81" s="223"/>
    </row>
    <row r="82" spans="1:17" ht="15.6" x14ac:dyDescent="0.3">
      <c r="A82" s="11"/>
    </row>
    <row r="83" spans="1:17" ht="15.6" x14ac:dyDescent="0.3">
      <c r="A83" s="11"/>
    </row>
    <row r="84" spans="1:17" ht="15.6" x14ac:dyDescent="0.3">
      <c r="A84" s="11"/>
    </row>
    <row r="85" spans="1:17" ht="23.4" x14ac:dyDescent="0.3">
      <c r="A85" s="94" t="s">
        <v>793</v>
      </c>
    </row>
    <row r="86" spans="1:17" ht="15.6" x14ac:dyDescent="0.3">
      <c r="A86" s="11"/>
    </row>
    <row r="87" spans="1:17" ht="15.6" x14ac:dyDescent="0.3">
      <c r="A87" s="91" t="s">
        <v>794</v>
      </c>
    </row>
    <row r="88" spans="1:17" ht="15.6" x14ac:dyDescent="0.3">
      <c r="A88" s="91" t="s">
        <v>795</v>
      </c>
    </row>
    <row r="89" spans="1:17" ht="15.6" x14ac:dyDescent="0.3">
      <c r="A89" s="91" t="s">
        <v>796</v>
      </c>
    </row>
    <row r="90" spans="1:17" ht="15.6" x14ac:dyDescent="0.3">
      <c r="A90" s="91" t="s">
        <v>797</v>
      </c>
    </row>
    <row r="91" spans="1:17" ht="15.6" x14ac:dyDescent="0.3">
      <c r="A91" s="91" t="s">
        <v>798</v>
      </c>
    </row>
    <row r="92" spans="1:17" ht="15.6" x14ac:dyDescent="0.3">
      <c r="A92" s="91" t="s">
        <v>799</v>
      </c>
    </row>
    <row r="93" spans="1:17" ht="15.6" x14ac:dyDescent="0.3">
      <c r="A93" s="91" t="s">
        <v>800</v>
      </c>
    </row>
    <row r="94" spans="1:17" ht="15.6" x14ac:dyDescent="0.3">
      <c r="A94" s="91" t="s">
        <v>801</v>
      </c>
    </row>
    <row r="95" spans="1:17" ht="15.6" x14ac:dyDescent="0.3">
      <c r="A95" s="11"/>
    </row>
    <row r="98" spans="1:17" ht="23.4" x14ac:dyDescent="0.45">
      <c r="A98" s="96" t="s">
        <v>802</v>
      </c>
    </row>
    <row r="100" spans="1:17" ht="15.6" customHeight="1" x14ac:dyDescent="0.3">
      <c r="A100" s="220" t="s">
        <v>803</v>
      </c>
      <c r="B100" s="220"/>
      <c r="C100" s="220"/>
      <c r="D100" s="220"/>
      <c r="E100" s="220"/>
      <c r="F100" s="220"/>
      <c r="G100" s="220"/>
      <c r="H100" s="220"/>
      <c r="I100" s="220"/>
      <c r="J100" s="220"/>
      <c r="K100" s="220"/>
      <c r="L100" s="220"/>
      <c r="M100" s="220"/>
      <c r="N100" s="220"/>
      <c r="O100" s="220"/>
      <c r="P100" s="220"/>
      <c r="Q100" s="220"/>
    </row>
    <row r="101" spans="1:17" ht="15.6" customHeight="1" x14ac:dyDescent="0.3">
      <c r="A101" s="220"/>
      <c r="B101" s="220"/>
      <c r="C101" s="220"/>
      <c r="D101" s="220"/>
      <c r="E101" s="220"/>
      <c r="F101" s="220"/>
      <c r="G101" s="220"/>
      <c r="H101" s="220"/>
      <c r="I101" s="220"/>
      <c r="J101" s="220"/>
      <c r="K101" s="220"/>
      <c r="L101" s="220"/>
      <c r="M101" s="220"/>
      <c r="N101" s="220"/>
      <c r="O101" s="220"/>
      <c r="P101" s="220"/>
      <c r="Q101" s="220"/>
    </row>
    <row r="104" spans="1:17" x14ac:dyDescent="0.3">
      <c r="B104" s="52" t="s">
        <v>804</v>
      </c>
    </row>
    <row r="105" spans="1:17" x14ac:dyDescent="0.3">
      <c r="B105" s="52" t="s">
        <v>806</v>
      </c>
    </row>
    <row r="106" spans="1:17" x14ac:dyDescent="0.3">
      <c r="B106" s="224" t="s">
        <v>805</v>
      </c>
    </row>
  </sheetData>
  <mergeCells count="6">
    <mergeCell ref="A100:Q101"/>
    <mergeCell ref="A1:Q1"/>
    <mergeCell ref="A3:Q3"/>
    <mergeCell ref="A9:Q11"/>
    <mergeCell ref="A73:Q74"/>
    <mergeCell ref="A80:Q8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Supplier vs Spend</vt:lpstr>
      <vt:lpstr>Category vs Spend</vt:lpstr>
      <vt:lpstr>Department vs Spend</vt:lpstr>
      <vt:lpstr>Item vs Spend</vt:lpstr>
      <vt:lpstr>PO Status Analysis</vt:lpstr>
      <vt:lpstr>On-Time Analysis</vt:lpstr>
      <vt:lpstr>Quality Analysis</vt:lpstr>
      <vt:lpstr>Lead Days Analysis</vt:lpstr>
      <vt:lpstr>PO Status Detailed Analysis</vt:lpstr>
      <vt:lpstr>Procurement_Data</vt:lpstr>
      <vt:lpstr>Project - 002 Portfolio 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Sanjeewani Pathinayake</cp:lastModifiedBy>
  <dcterms:created xsi:type="dcterms:W3CDTF">2026-07-14T11:47:25Z</dcterms:created>
  <dcterms:modified xsi:type="dcterms:W3CDTF">2026-07-26T06:14:37Z</dcterms:modified>
</cp:coreProperties>
</file>