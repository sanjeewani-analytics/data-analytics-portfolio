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esktop\AI PROJECTS WITH ALEX\Professional DATA ANALYST Development Programme - From Day 24\Client Project - 001\Project 001 - Portfolio\"/>
    </mc:Choice>
  </mc:AlternateContent>
  <xr:revisionPtr revIDLastSave="0" documentId="13_ncr:1_{F3D2ACD9-6F51-42AF-94D8-6270539D4750}" xr6:coauthVersionLast="47" xr6:coauthVersionMax="47" xr10:uidLastSave="{00000000-0000-0000-0000-000000000000}"/>
  <bookViews>
    <workbookView xWindow="-108" yWindow="-108" windowWidth="23256" windowHeight="12456" activeTab="5" xr2:uid="{00000000-000D-0000-FFFF-FFFF00000000}"/>
  </bookViews>
  <sheets>
    <sheet name="Customer vs Sales" sheetId="2" r:id="rId1"/>
    <sheet name="Region vs Sales" sheetId="3" r:id="rId2"/>
    <sheet name="Category vs Sales" sheetId="4" r:id="rId3"/>
    <sheet name="Product vs Sales" sheetId="5" r:id="rId4"/>
    <sheet name="Sales_Data" sheetId="1" r:id="rId5"/>
    <sheet name="Project-001 Portfolio Page" sheetId="6" r:id="rId6"/>
  </sheet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4" i="2" l="1"/>
  <c r="O9" i="1"/>
  <c r="O8" i="1"/>
  <c r="O7" i="1"/>
  <c r="O6" i="1"/>
  <c r="O5" i="1"/>
  <c r="D209" i="1"/>
  <c r="D208" i="1"/>
</calcChain>
</file>

<file path=xl/sharedStrings.xml><?xml version="1.0" encoding="utf-8"?>
<sst xmlns="http://schemas.openxmlformats.org/spreadsheetml/2006/main" count="967" uniqueCount="160">
  <si>
    <t>Customer</t>
  </si>
  <si>
    <t>Region</t>
  </si>
  <si>
    <t>Category</t>
  </si>
  <si>
    <t>Product</t>
  </si>
  <si>
    <t>Qty</t>
  </si>
  <si>
    <t>Customer 36</t>
  </si>
  <si>
    <t>West</t>
  </si>
  <si>
    <t>Office</t>
  </si>
  <si>
    <t>Paper</t>
  </si>
  <si>
    <t>Customer 38</t>
  </si>
  <si>
    <t>North</t>
  </si>
  <si>
    <t>Furniture</t>
  </si>
  <si>
    <t>Chair</t>
  </si>
  <si>
    <t>Customer 25</t>
  </si>
  <si>
    <t>East</t>
  </si>
  <si>
    <t>South</t>
  </si>
  <si>
    <t>Electronics</t>
  </si>
  <si>
    <t>Mouse</t>
  </si>
  <si>
    <t>Customer 32</t>
  </si>
  <si>
    <t>Customer 33</t>
  </si>
  <si>
    <t>Keyboard</t>
  </si>
  <si>
    <t>Pen</t>
  </si>
  <si>
    <t>Customer 31</t>
  </si>
  <si>
    <t>Customer 18</t>
  </si>
  <si>
    <t>Customer 9</t>
  </si>
  <si>
    <t>Customer 16</t>
  </si>
  <si>
    <t>Customer 2</t>
  </si>
  <si>
    <t>Customer 12</t>
  </si>
  <si>
    <t>Customer 7</t>
  </si>
  <si>
    <t>Customer 14</t>
  </si>
  <si>
    <t>Customer 21</t>
  </si>
  <si>
    <t>Customer 30</t>
  </si>
  <si>
    <t>Customer 4</t>
  </si>
  <si>
    <t>Customer 26</t>
  </si>
  <si>
    <t>Customer 39</t>
  </si>
  <si>
    <t>Customer 13</t>
  </si>
  <si>
    <t>Customer 29</t>
  </si>
  <si>
    <t>Customer 1</t>
  </si>
  <si>
    <t>Customer 20</t>
  </si>
  <si>
    <t>Customer 11</t>
  </si>
  <si>
    <t>Customer 24</t>
  </si>
  <si>
    <t>Customer 3</t>
  </si>
  <si>
    <t>Customer 23</t>
  </si>
  <si>
    <t>Customer 17</t>
  </si>
  <si>
    <t>Customer 15</t>
  </si>
  <si>
    <t>Customer 8</t>
  </si>
  <si>
    <t>Customer 37</t>
  </si>
  <si>
    <t>Customer 6</t>
  </si>
  <si>
    <t>Customer 34</t>
  </si>
  <si>
    <t>Customer 10</t>
  </si>
  <si>
    <t>Customer 28</t>
  </si>
  <si>
    <t>Customer 5</t>
  </si>
  <si>
    <t>Customer 22</t>
  </si>
  <si>
    <t>Customer 35</t>
  </si>
  <si>
    <t>Customer 27</t>
  </si>
  <si>
    <t>Customer 40</t>
  </si>
  <si>
    <t>Customer 19</t>
  </si>
  <si>
    <t>Order ID</t>
  </si>
  <si>
    <t>Order Date</t>
  </si>
  <si>
    <t>Discount (%)</t>
  </si>
  <si>
    <t>Unit Price (Currency)</t>
  </si>
  <si>
    <t>Total (Currency )</t>
  </si>
  <si>
    <t>Data Quality Assessment Report</t>
  </si>
  <si>
    <t>Total records:</t>
  </si>
  <si>
    <t>Total columns:</t>
  </si>
  <si>
    <t>Blank cells found:</t>
  </si>
  <si>
    <t>Duplicate records found:</t>
  </si>
  <si>
    <t>Formatting issues:</t>
  </si>
  <si>
    <t>Other observations:</t>
  </si>
  <si>
    <t>Recommendation before analysis:</t>
  </si>
  <si>
    <t>In the above raw data set received from the client; ABC Retail Stores Ltd., obvious inconsistencies were not observed except 01 duplicate record and 01 blank cell as highlighted in the table. Data types are appropriate (dates, numbers and texts).  Recommend to commence data analysis after carrying out necessary data cleaning and validation.</t>
  </si>
  <si>
    <t>Customer not found</t>
  </si>
  <si>
    <t xml:space="preserve">Removed the additional record of Order ID 1001 which was duplicated, after sorting and careful verification. </t>
  </si>
  <si>
    <t>Filled the Blank cell in "Customer" column (Order ID 1004)  as "Customer not found".</t>
  </si>
  <si>
    <t>Converted the data table to "Excel Table" to facilitate professional analysis.</t>
  </si>
  <si>
    <t>Completed data cleaning and validation to facilitate Data Analysis.</t>
  </si>
  <si>
    <t>Phase -1</t>
  </si>
  <si>
    <t>Phase -2</t>
  </si>
  <si>
    <t>No critical data quality issues remain that would materially affect the planned analysis.</t>
  </si>
  <si>
    <t xml:space="preserve">Action Taken  :  Data Cleaning &amp; Validation </t>
  </si>
  <si>
    <t>Phase -3</t>
  </si>
  <si>
    <t>Dashboard KPIs</t>
  </si>
  <si>
    <t>Total Sales Value</t>
  </si>
  <si>
    <t xml:space="preserve">Average Sales Value </t>
  </si>
  <si>
    <t>Highest Sales Value</t>
  </si>
  <si>
    <t>Lowest Sales Value</t>
  </si>
  <si>
    <t>Total No. of Sales</t>
  </si>
  <si>
    <t>Total No. of Customers</t>
  </si>
  <si>
    <t>Row Labels</t>
  </si>
  <si>
    <t>Grand Total</t>
  </si>
  <si>
    <t xml:space="preserve">Total No. of Customers  :  </t>
  </si>
  <si>
    <t xml:space="preserve"> (including "Customer Not Found")</t>
  </si>
  <si>
    <t>(including "Customer Not found")</t>
  </si>
  <si>
    <t>Sum of  Sales</t>
  </si>
  <si>
    <t xml:space="preserve">Sum of Sales </t>
  </si>
  <si>
    <t>Sum of Sales</t>
  </si>
  <si>
    <t xml:space="preserve">Note to Project Manager  :  </t>
  </si>
  <si>
    <t>*** I could notice at the time of carrying out the analysis, that in the Customer column, some Customer Nos. do not comply with "Assending or Decending orders" as expectd, and appear in the column not according to the expected sequence when applied Sorting. Please refer the Main data table and the relevant Pivot Table.</t>
  </si>
  <si>
    <t>Management Report / Professional Summary  :</t>
  </si>
  <si>
    <r>
      <t xml:space="preserve">The </t>
    </r>
    <r>
      <rPr>
        <b/>
        <sz val="12"/>
        <color theme="1"/>
        <rFont val="Calibri"/>
        <family val="2"/>
        <scheme val="minor"/>
      </rPr>
      <t>Total Sales Value</t>
    </r>
    <r>
      <rPr>
        <sz val="12"/>
        <color theme="1"/>
        <rFont val="Calibri"/>
        <family val="2"/>
        <scheme val="minor"/>
      </rPr>
      <t xml:space="preserve"> generated during the period was </t>
    </r>
    <r>
      <rPr>
        <b/>
        <sz val="12"/>
        <color theme="1"/>
        <rFont val="Calibri"/>
        <family val="2"/>
        <scheme val="minor"/>
      </rPr>
      <t>33,095.25</t>
    </r>
    <r>
      <rPr>
        <sz val="12"/>
        <color theme="1"/>
        <rFont val="Calibri"/>
        <family val="2"/>
        <scheme val="minor"/>
      </rPr>
      <t xml:space="preserve"> with an Average of 165.48; while the Highest Sales Value recorded during the period was 1,000. Total No. of Sales performed during the period was 200, having transactions with 41 Customers.  The analysis confirmed that East Region is accountable for the Best Sales Performance of 38%, while the lowest is West Region with 15% out of the 04 Regions in total. In terms of Category performance; Category "Office" has generated the highest percentage of 49% of the total sales revenue leaving Category "Furniture" with 18% as the lowest out of the 03 Categories listed. When it comes to Products, "Paper" has become the most demanding product with Highest Sales performance of 26%, while leaving "Mouse" with 15% as the lowest of the 05 Products.</t>
    </r>
  </si>
  <si>
    <r>
      <rPr>
        <b/>
        <sz val="12"/>
        <color theme="1"/>
        <rFont val="Calibri"/>
        <family val="2"/>
        <scheme val="minor"/>
      </rPr>
      <t>RECOMMENDATIONS :</t>
    </r>
    <r>
      <rPr>
        <sz val="12"/>
        <color theme="1"/>
        <rFont val="Calibri"/>
        <family val="2"/>
        <scheme val="minor"/>
      </rPr>
      <t xml:space="preserve">  Considering the above revenue trends and outcome ; (1) Need to identify and evaluate the root causes and hindering factors pertaining to sales performance in "under-performing areas" highlighted in this report.  (2) Organize meetings with sales teams responsible for those "under-performing areas" for brainstorming for improvements. (3) Need to establish "Action Plans" for implementation of the "best suggestions for improvements" through the respective teams. (4) Need to focus on conducting "Refresher Training Programs" for development and improvement of Sales and Marketing skills of the respective team members. </t>
    </r>
  </si>
  <si>
    <r>
      <t xml:space="preserve">As per the above </t>
    </r>
    <r>
      <rPr>
        <b/>
        <sz val="12"/>
        <color theme="1"/>
        <rFont val="Calibri"/>
        <family val="2"/>
        <scheme val="minor"/>
      </rPr>
      <t>detailed analysis</t>
    </r>
    <r>
      <rPr>
        <sz val="12"/>
        <color theme="1"/>
        <rFont val="Calibri"/>
        <family val="2"/>
        <scheme val="minor"/>
      </rPr>
      <t xml:space="preserve"> on Sales Performance for the past 06 months by Client; </t>
    </r>
    <r>
      <rPr>
        <b/>
        <sz val="12"/>
        <color theme="1"/>
        <rFont val="Calibri"/>
        <family val="2"/>
        <scheme val="minor"/>
      </rPr>
      <t>ABC Retail Stores Ltd.</t>
    </r>
    <r>
      <rPr>
        <sz val="12"/>
        <color theme="1"/>
        <rFont val="Calibri"/>
        <family val="2"/>
        <scheme val="minor"/>
      </rPr>
      <t xml:space="preserve">, the </t>
    </r>
    <r>
      <rPr>
        <b/>
        <sz val="12"/>
        <color theme="1"/>
        <rFont val="Calibri"/>
        <family val="2"/>
        <scheme val="minor"/>
      </rPr>
      <t>following observations</t>
    </r>
    <r>
      <rPr>
        <sz val="12"/>
        <color theme="1"/>
        <rFont val="Calibri"/>
        <family val="2"/>
        <scheme val="minor"/>
      </rPr>
      <t xml:space="preserve"> could be highlighted with appropriate </t>
    </r>
    <r>
      <rPr>
        <b/>
        <sz val="12"/>
        <color theme="1"/>
        <rFont val="Calibri"/>
        <family val="2"/>
        <scheme val="minor"/>
      </rPr>
      <t>Recommendations</t>
    </r>
    <r>
      <rPr>
        <sz val="12"/>
        <color theme="1"/>
        <rFont val="Calibri"/>
        <family val="2"/>
        <scheme val="minor"/>
      </rPr>
      <t xml:space="preserve"> for management review. </t>
    </r>
  </si>
  <si>
    <t>Business Scenario</t>
  </si>
  <si>
    <t>A fictional retail company requested an analysis of its sales performance to better understand customer purchasing behaviour, regional sales trends, product performance, and category-wise revenue distribution.</t>
  </si>
  <si>
    <t>The objective was to identify actionable business insights and present them through an executive dashboard to support management decision-making.</t>
  </si>
  <si>
    <t>Project Objectives</t>
  </si>
  <si>
    <t>Assess data quality.</t>
  </si>
  <si>
    <t>Clean and validate the dataset.</t>
  </si>
  <si>
    <t>Analyse sales performance from multiple business perspectives.</t>
  </si>
  <si>
    <t>Develop Pivot Table summaries.</t>
  </si>
  <si>
    <t>Build an executive dashboard.</t>
  </si>
  <si>
    <t>Provide practical business recommendations.</t>
  </si>
  <si>
    <t>Tools Used</t>
  </si>
  <si>
    <t>Microsoft Excel</t>
  </si>
  <si>
    <t>Pivot Tables</t>
  </si>
  <si>
    <t>Pivot Charts</t>
  </si>
  <si>
    <t>Conditional Formatting</t>
  </si>
  <si>
    <t>Dashboard Design</t>
  </si>
  <si>
    <t>Data Cleaning</t>
  </si>
  <si>
    <t>Data Validation</t>
  </si>
  <si>
    <t>Business Reporting</t>
  </si>
  <si>
    <t>Business Questions Addressed</t>
  </si>
  <si>
    <t>Which customers generated the highest sales?</t>
  </si>
  <si>
    <t>Which regions performed best?</t>
  </si>
  <si>
    <t>Which product categories generated the most revenue?</t>
  </si>
  <si>
    <t>Which products contributed most to sales?</t>
  </si>
  <si>
    <t>What recommendations should management consider?</t>
  </si>
  <si>
    <t>Key Skills Demonstrated</t>
  </si>
  <si>
    <t>Data Quality Assessment</t>
  </si>
  <si>
    <t>Data Cleaning &amp; Validation</t>
  </si>
  <si>
    <t>Sales Data Analysis</t>
  </si>
  <si>
    <t>Pivot Table Development</t>
  </si>
  <si>
    <t>Dashboard Creation</t>
  </si>
  <si>
    <t>KPI Reporting</t>
  </si>
  <si>
    <t>Business Insight Generation</t>
  </si>
  <si>
    <t>Executive Reporting</t>
  </si>
  <si>
    <t>Business Outcome</t>
  </si>
  <si>
    <t>The completed analysis enabled management to:</t>
  </si>
  <si>
    <t>identify top-performing customers,</t>
  </si>
  <si>
    <t>compare regional sales performance,</t>
  </si>
  <si>
    <t>evaluate product category profitability,</t>
  </si>
  <si>
    <t>identify high-performing products,</t>
  </si>
  <si>
    <t>support data-driven decision-making.</t>
  </si>
  <si>
    <t>What I Learned</t>
  </si>
  <si>
    <t>This project strengthened my ability to transform raw sales data into meaningful business insights using Microsoft Excel. It enhanced my skills in data preparation, Pivot Table analysis, dashboard development, and presenting recommendations to management.</t>
  </si>
  <si>
    <t>Skills Employers Can Verify</t>
  </si>
  <si>
    <t>For Project 001:</t>
  </si>
  <si>
    <t>✔ Data Cleaning</t>
  </si>
  <si>
    <t>✔ Pivot Tables</t>
  </si>
  <si>
    <t>✔ Dashboard Design</t>
  </si>
  <si>
    <t>✔ Business Analysis</t>
  </si>
  <si>
    <t>✔ KPI Reporting</t>
  </si>
  <si>
    <t>✔ Executive Communication</t>
  </si>
  <si>
    <t>This project answered questions such as:</t>
  </si>
  <si>
    <t>Professional Data Analytics Portfolio</t>
  </si>
  <si>
    <t>Project 001 - Retail Sales Performance Dashboard &amp; Business Insights Analysis</t>
  </si>
  <si>
    <t>This analysis demonstrates how structured sales data can be transformed into actionable insights to support informed management decisions.</t>
  </si>
  <si>
    <t>Portfolio Project Prepared by:</t>
  </si>
  <si>
    <t>Microsoft Excel Business Case Study</t>
  </si>
  <si>
    <t>Sanjeewani Pathinayake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</si>
</sst>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_(* #,##0_);_(* \(#,##0\);_(*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
      <b/>
      <sz val="12"/>
      <color theme="1"/>
      <name val="Calibri"/>
      <family val="2"/>
      <scheme val="minor"/>
    </font>
    <font>
      <b/>
      <sz val="12"/>
      <color rgb="FF0000FF"/>
      <name val="Calibri"/>
      <family val="2"/>
      <scheme val="minor"/>
    </font>
    <font>
      <sz val="14"/>
      <color theme="1"/>
      <name val="Calibri"/>
      <family val="2"/>
      <scheme val="minor"/>
    </font>
    <font>
      <i/>
      <sz val="14"/>
      <color theme="1"/>
      <name val="Calibri"/>
      <family val="2"/>
      <scheme val="minor"/>
    </font>
    <font>
      <b/>
      <sz val="14"/>
      <name val="Calibri"/>
      <family val="2"/>
      <scheme val="minor"/>
    </font>
    <font>
      <b/>
      <i/>
      <sz val="12"/>
      <color rgb="FF0000FF"/>
      <name val="Calibri"/>
      <family val="2"/>
      <scheme val="minor"/>
    </font>
    <font>
      <b/>
      <i/>
      <sz val="10"/>
      <color theme="1"/>
      <name val="Calibri"/>
      <family val="2"/>
      <scheme val="minor"/>
    </font>
    <font>
      <b/>
      <sz val="18"/>
      <color theme="1"/>
      <name val="Calibri"/>
      <family val="2"/>
      <scheme val="minor"/>
    </font>
    <font>
      <b/>
      <sz val="24"/>
      <color theme="1"/>
      <name val="Calibri"/>
      <family val="2"/>
      <scheme val="minor"/>
    </font>
    <font>
      <b/>
      <sz val="22"/>
      <color theme="1"/>
      <name val="Calibri"/>
      <family val="2"/>
      <scheme val="minor"/>
    </font>
    <font>
      <i/>
      <sz val="11"/>
      <color theme="1"/>
      <name val="Calibri"/>
      <family val="2"/>
      <scheme val="minor"/>
    </font>
  </fonts>
  <fills count="9">
    <fill>
      <patternFill patternType="none"/>
    </fill>
    <fill>
      <patternFill patternType="gray125"/>
    </fill>
    <fill>
      <patternFill patternType="solid">
        <fgColor rgb="FFFFFF99"/>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9933"/>
        <bgColor indexed="64"/>
      </patternFill>
    </fill>
    <fill>
      <patternFill patternType="solid">
        <fgColor theme="9"/>
        <bgColor indexed="64"/>
      </patternFill>
    </fill>
    <fill>
      <patternFill patternType="solid">
        <fgColor theme="8" tint="0.79998168889431442"/>
        <bgColor indexed="64"/>
      </patternFill>
    </fill>
    <fill>
      <patternFill patternType="solid">
        <fgColor rgb="FFFFC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113">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43" fontId="0" fillId="0" borderId="1" xfId="1" applyFont="1" applyBorder="1" applyAlignment="1">
      <alignment horizontal="center"/>
    </xf>
    <xf numFmtId="43" fontId="0" fillId="0" borderId="0" xfId="1" applyFont="1"/>
    <xf numFmtId="0" fontId="4" fillId="0" borderId="0" xfId="0" applyFont="1"/>
    <xf numFmtId="0" fontId="5" fillId="2" borderId="8" xfId="0" applyFont="1" applyFill="1" applyBorder="1"/>
    <xf numFmtId="0" fontId="5" fillId="2" borderId="9" xfId="0" applyFont="1" applyFill="1" applyBorder="1"/>
    <xf numFmtId="0" fontId="5" fillId="2" borderId="5" xfId="0" applyFont="1" applyFill="1" applyBorder="1"/>
    <xf numFmtId="0" fontId="5" fillId="2" borderId="6" xfId="0" applyFont="1" applyFill="1" applyBorder="1"/>
    <xf numFmtId="0" fontId="0" fillId="0" borderId="10" xfId="0" applyBorder="1" applyAlignment="1">
      <alignment horizontal="center"/>
    </xf>
    <xf numFmtId="43" fontId="0" fillId="0" borderId="9" xfId="1" applyFont="1" applyBorder="1" applyAlignment="1">
      <alignment horizontal="center"/>
    </xf>
    <xf numFmtId="0" fontId="2" fillId="0" borderId="7" xfId="0" applyFont="1" applyBorder="1" applyAlignment="1">
      <alignment horizontal="center" vertical="center" wrapText="1"/>
    </xf>
    <xf numFmtId="0" fontId="2" fillId="0" borderId="13" xfId="0" applyFont="1" applyBorder="1" applyAlignment="1">
      <alignment horizontal="center" vertical="center" wrapText="1"/>
    </xf>
    <xf numFmtId="43" fontId="2" fillId="0" borderId="5" xfId="1" applyFont="1" applyBorder="1" applyAlignment="1">
      <alignment horizontal="center" vertical="center" wrapText="1"/>
    </xf>
    <xf numFmtId="164" fontId="0" fillId="0" borderId="14" xfId="0" applyNumberFormat="1" applyBorder="1" applyAlignment="1">
      <alignment horizontal="center"/>
    </xf>
    <xf numFmtId="0" fontId="0" fillId="0" borderId="14" xfId="0" applyBorder="1" applyAlignment="1">
      <alignment horizontal="center"/>
    </xf>
    <xf numFmtId="43" fontId="0" fillId="0" borderId="14" xfId="1" applyFont="1" applyBorder="1" applyAlignment="1">
      <alignment horizontal="center"/>
    </xf>
    <xf numFmtId="43" fontId="0" fillId="0" borderId="2" xfId="1" applyFont="1" applyBorder="1" applyAlignment="1">
      <alignment horizontal="center"/>
    </xf>
    <xf numFmtId="0" fontId="0" fillId="0" borderId="6" xfId="0" applyBorder="1"/>
    <xf numFmtId="0" fontId="0" fillId="0" borderId="7" xfId="0" applyBorder="1"/>
    <xf numFmtId="0" fontId="0" fillId="0" borderId="4" xfId="0" applyBorder="1" applyAlignment="1">
      <alignment horizontal="center"/>
    </xf>
    <xf numFmtId="0" fontId="0" fillId="0" borderId="10" xfId="0" applyFill="1" applyBorder="1" applyAlignment="1">
      <alignment horizontal="center"/>
    </xf>
    <xf numFmtId="0" fontId="3" fillId="0" borderId="0" xfId="0" applyFont="1"/>
    <xf numFmtId="0" fontId="4" fillId="0" borderId="6" xfId="0" applyFont="1" applyBorder="1"/>
    <xf numFmtId="43" fontId="0" fillId="0" borderId="6" xfId="1" applyFont="1" applyBorder="1"/>
    <xf numFmtId="0" fontId="4" fillId="0" borderId="13" xfId="0" applyFont="1" applyBorder="1" applyAlignment="1">
      <alignment horizontal="center"/>
    </xf>
    <xf numFmtId="0" fontId="4" fillId="0" borderId="1" xfId="0" applyFont="1" applyBorder="1" applyAlignment="1">
      <alignment horizontal="center"/>
    </xf>
    <xf numFmtId="0" fontId="4" fillId="0" borderId="8" xfId="0" applyFont="1" applyBorder="1"/>
    <xf numFmtId="43" fontId="0" fillId="0" borderId="8" xfId="1" applyFont="1" applyBorder="1"/>
    <xf numFmtId="0" fontId="0" fillId="0" borderId="8" xfId="0" applyBorder="1"/>
    <xf numFmtId="0" fontId="0" fillId="0" borderId="10" xfId="0" applyBorder="1"/>
    <xf numFmtId="0" fontId="4" fillId="0" borderId="0" xfId="0" applyFont="1" applyBorder="1" applyAlignment="1">
      <alignment horizontal="center"/>
    </xf>
    <xf numFmtId="0" fontId="4" fillId="0" borderId="0" xfId="0" applyFont="1" applyBorder="1"/>
    <xf numFmtId="0" fontId="0" fillId="0" borderId="0" xfId="0" applyBorder="1"/>
    <xf numFmtId="43" fontId="0" fillId="0" borderId="0" xfId="1" applyFont="1" applyBorder="1"/>
    <xf numFmtId="0" fontId="2" fillId="5" borderId="1" xfId="0" applyFont="1" applyFill="1" applyBorder="1"/>
    <xf numFmtId="0" fontId="0" fillId="0" borderId="1" xfId="0" applyNumberFormat="1" applyBorder="1" applyAlignment="1">
      <alignment horizontal="center"/>
    </xf>
    <xf numFmtId="0" fontId="0" fillId="3" borderId="1" xfId="0" applyNumberFormat="1" applyFill="1" applyBorder="1" applyAlignment="1">
      <alignment horizontal="center"/>
    </xf>
    <xf numFmtId="0" fontId="0" fillId="0" borderId="14" xfId="0" applyNumberFormat="1" applyBorder="1" applyAlignment="1">
      <alignment horizontal="center"/>
    </xf>
    <xf numFmtId="0" fontId="0" fillId="0" borderId="1" xfId="0" applyBorder="1" applyAlignment="1">
      <alignment horizontal="left"/>
    </xf>
    <xf numFmtId="0" fontId="7" fillId="0" borderId="0" xfId="0" applyFont="1"/>
    <xf numFmtId="0" fontId="8" fillId="0" borderId="0" xfId="0" applyFont="1"/>
    <xf numFmtId="0" fontId="3" fillId="3" borderId="1" xfId="0" applyFont="1" applyFill="1" applyBorder="1"/>
    <xf numFmtId="0" fontId="5" fillId="5" borderId="9" xfId="0" applyFont="1" applyFill="1" applyBorder="1"/>
    <xf numFmtId="0" fontId="5" fillId="5" borderId="8" xfId="0" applyFont="1" applyFill="1" applyBorder="1"/>
    <xf numFmtId="0" fontId="5" fillId="5" borderId="10" xfId="0" applyFont="1" applyFill="1" applyBorder="1"/>
    <xf numFmtId="43" fontId="5" fillId="5" borderId="10" xfId="0" applyNumberFormat="1" applyFont="1" applyFill="1" applyBorder="1"/>
    <xf numFmtId="0" fontId="5" fillId="5" borderId="5" xfId="0" applyFont="1" applyFill="1" applyBorder="1"/>
    <xf numFmtId="0" fontId="5" fillId="5" borderId="6" xfId="0" applyFont="1" applyFill="1" applyBorder="1"/>
    <xf numFmtId="0" fontId="5" fillId="5" borderId="7" xfId="0" applyFont="1" applyFill="1" applyBorder="1"/>
    <xf numFmtId="0" fontId="5" fillId="5" borderId="11" xfId="0" applyFont="1" applyFill="1" applyBorder="1"/>
    <xf numFmtId="0" fontId="2" fillId="5" borderId="0" xfId="0" applyFont="1" applyFill="1"/>
    <xf numFmtId="43" fontId="0" fillId="0" borderId="1" xfId="0" applyNumberFormat="1" applyBorder="1"/>
    <xf numFmtId="0" fontId="0" fillId="0" borderId="1" xfId="0" pivotButton="1" applyBorder="1"/>
    <xf numFmtId="0" fontId="0" fillId="0" borderId="1" xfId="0" applyBorder="1"/>
    <xf numFmtId="165" fontId="5" fillId="5" borderId="10" xfId="1" applyNumberFormat="1" applyFont="1" applyFill="1" applyBorder="1"/>
    <xf numFmtId="0" fontId="3" fillId="6" borderId="0" xfId="0" applyFont="1" applyFill="1"/>
    <xf numFmtId="0" fontId="3" fillId="0" borderId="0" xfId="0" applyFont="1" applyFill="1" applyAlignment="1">
      <alignment horizontal="center" vertical="center"/>
    </xf>
    <xf numFmtId="43" fontId="0" fillId="0" borderId="0" xfId="1" applyFont="1" applyFill="1"/>
    <xf numFmtId="0" fontId="0" fillId="0" borderId="0" xfId="0" applyFill="1"/>
    <xf numFmtId="0" fontId="9" fillId="6" borderId="0" xfId="0" applyFont="1" applyFill="1"/>
    <xf numFmtId="0" fontId="10" fillId="0" borderId="0" xfId="0" applyFont="1" applyAlignment="1">
      <alignment vertical="center"/>
    </xf>
    <xf numFmtId="0" fontId="0" fillId="0" borderId="0" xfId="0" applyAlignment="1">
      <alignment vertical="center"/>
    </xf>
    <xf numFmtId="43" fontId="0" fillId="0" borderId="0" xfId="1" applyFont="1" applyAlignment="1">
      <alignment vertical="center"/>
    </xf>
    <xf numFmtId="0" fontId="4" fillId="8" borderId="0" xfId="0" applyFont="1" applyFill="1" applyAlignment="1">
      <alignment vertical="center" wrapText="1"/>
    </xf>
    <xf numFmtId="43" fontId="2" fillId="0" borderId="0" xfId="1" applyFont="1" applyBorder="1" applyAlignment="1">
      <alignment horizontal="center" vertical="center" wrapText="1"/>
    </xf>
    <xf numFmtId="43" fontId="0" fillId="0" borderId="0" xfId="1" applyFont="1" applyBorder="1" applyAlignment="1">
      <alignment horizontal="center"/>
    </xf>
    <xf numFmtId="0" fontId="12"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0" fillId="2" borderId="0" xfId="0" applyFill="1"/>
    <xf numFmtId="0" fontId="0" fillId="8" borderId="0" xfId="0" applyFill="1" applyAlignment="1">
      <alignment horizontal="center" vertical="center"/>
    </xf>
    <xf numFmtId="0" fontId="0" fillId="8" borderId="0" xfId="0" applyFill="1" applyAlignment="1">
      <alignment horizontal="left" wrapText="1"/>
    </xf>
    <xf numFmtId="0" fontId="0" fillId="8" borderId="0" xfId="0" applyFill="1" applyAlignment="1">
      <alignment horizontal="center"/>
    </xf>
    <xf numFmtId="0" fontId="3" fillId="3" borderId="0" xfId="0" applyFont="1" applyFill="1" applyAlignment="1">
      <alignment horizontal="center" vertical="center"/>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11" fillId="0" borderId="0" xfId="0" applyFont="1" applyAlignment="1">
      <alignment horizontal="left"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5" fillId="2" borderId="9" xfId="0" applyFont="1" applyFill="1" applyBorder="1" applyAlignment="1">
      <alignment horizontal="center"/>
    </xf>
    <xf numFmtId="0" fontId="5" fillId="2" borderId="10" xfId="0" applyFont="1" applyFill="1" applyBorder="1" applyAlignment="1">
      <alignment horizontal="center"/>
    </xf>
    <xf numFmtId="0" fontId="5" fillId="2" borderId="1" xfId="0" applyFont="1" applyFill="1" applyBorder="1" applyAlignment="1">
      <alignment horizontal="center"/>
    </xf>
    <xf numFmtId="0" fontId="6" fillId="2" borderId="9" xfId="0" applyFont="1" applyFill="1" applyBorder="1" applyAlignment="1">
      <alignment horizontal="left"/>
    </xf>
    <xf numFmtId="0" fontId="6" fillId="2" borderId="8" xfId="0" applyFont="1" applyFill="1" applyBorder="1" applyAlignment="1">
      <alignment horizontal="left"/>
    </xf>
    <xf numFmtId="0" fontId="6" fillId="2" borderId="10" xfId="0" applyFont="1" applyFill="1" applyBorder="1" applyAlignment="1">
      <alignment horizontal="left"/>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0"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3" fillId="4" borderId="0" xfId="0" applyFont="1" applyFill="1" applyAlignment="1">
      <alignment horizontal="center"/>
    </xf>
    <xf numFmtId="0" fontId="4" fillId="7" borderId="1" xfId="0" applyFont="1" applyFill="1" applyBorder="1" applyAlignment="1">
      <alignment horizontal="left" vertical="center" wrapText="1"/>
    </xf>
    <xf numFmtId="0" fontId="4" fillId="8" borderId="0" xfId="0" applyFont="1" applyFill="1" applyAlignment="1">
      <alignment horizontal="left" vertical="center" wrapText="1"/>
    </xf>
    <xf numFmtId="0" fontId="3" fillId="8" borderId="1" xfId="0" applyFont="1" applyFill="1" applyBorder="1" applyAlignment="1">
      <alignment horizontal="center" vertical="center"/>
    </xf>
    <xf numFmtId="0" fontId="4" fillId="0" borderId="0" xfId="0" applyFont="1" applyAlignment="1">
      <alignment horizontal="left" wrapText="1"/>
    </xf>
    <xf numFmtId="0" fontId="13" fillId="2" borderId="0" xfId="0" applyFont="1" applyFill="1" applyAlignment="1">
      <alignment horizontal="center" vertical="center"/>
    </xf>
    <xf numFmtId="0" fontId="14" fillId="2" borderId="0" xfId="0" applyFont="1" applyFill="1" applyAlignment="1">
      <alignment horizontal="center" vertical="center"/>
    </xf>
    <xf numFmtId="0" fontId="2" fillId="0" borderId="0" xfId="0" applyFont="1"/>
    <xf numFmtId="0" fontId="15" fillId="0" borderId="0" xfId="0" applyFont="1"/>
  </cellXfs>
  <cellStyles count="2">
    <cellStyle name="Comma" xfId="1" builtinId="3"/>
    <cellStyle name="Normal" xfId="0" builtinId="0"/>
  </cellStyles>
  <dxfs count="46">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yyyy\-mm\-dd"/>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35" formatCode="_(* #,##0.00_);_(* \(#,##0.00\);_(* &quot;-&quot;??_);_(@_)"/>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_(* \(#,##0.00\);_(* &quot;-&quot;??_);_(@_)"/>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FFFF99"/>
      <color rgb="FF0000FF"/>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[Client_Project_001_Retail_Sales_Dataset- Final Analysis Report .xlsx]Customer vs Sales!PivotTable1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vs Sales'!$B$3</c:f>
              <c:strCache>
                <c:ptCount val="1"/>
                <c:pt idx="0">
                  <c:v>Total</c:v>
                </c:pt>
              </c:strCache>
            </c:strRef>
          </c:tx>
          <c:spPr>
            <a:solidFill>
              <a:schemeClr val="accent1"/>
            </a:solidFill>
            <a:ln>
              <a:noFill/>
            </a:ln>
            <a:effectLst/>
          </c:spPr>
          <c:invertIfNegative val="0"/>
          <c:cat>
            <c:strRef>
              <c:f>'Customer vs Sales'!$A$4:$A$45</c:f>
              <c:strCache>
                <c:ptCount val="41"/>
                <c:pt idx="0">
                  <c:v>Customer 1</c:v>
                </c:pt>
                <c:pt idx="1">
                  <c:v>Customer 10</c:v>
                </c:pt>
                <c:pt idx="2">
                  <c:v>Customer 11</c:v>
                </c:pt>
                <c:pt idx="3">
                  <c:v>Customer 12</c:v>
                </c:pt>
                <c:pt idx="4">
                  <c:v>Customer 13</c:v>
                </c:pt>
                <c:pt idx="5">
                  <c:v>Customer 14</c:v>
                </c:pt>
                <c:pt idx="6">
                  <c:v>Customer 15</c:v>
                </c:pt>
                <c:pt idx="7">
                  <c:v>Customer 16</c:v>
                </c:pt>
                <c:pt idx="8">
                  <c:v>Customer 17</c:v>
                </c:pt>
                <c:pt idx="9">
                  <c:v>Customer 18</c:v>
                </c:pt>
                <c:pt idx="10">
                  <c:v>Customer 19</c:v>
                </c:pt>
                <c:pt idx="11">
                  <c:v>Customer 2</c:v>
                </c:pt>
                <c:pt idx="12">
                  <c:v>Customer 20</c:v>
                </c:pt>
                <c:pt idx="13">
                  <c:v>Customer 21</c:v>
                </c:pt>
                <c:pt idx="14">
                  <c:v>Customer 22</c:v>
                </c:pt>
                <c:pt idx="15">
                  <c:v>Customer 23</c:v>
                </c:pt>
                <c:pt idx="16">
                  <c:v>Customer 24</c:v>
                </c:pt>
                <c:pt idx="17">
                  <c:v>Customer 25</c:v>
                </c:pt>
                <c:pt idx="18">
                  <c:v>Customer 26</c:v>
                </c:pt>
                <c:pt idx="19">
                  <c:v>Customer 27</c:v>
                </c:pt>
                <c:pt idx="20">
                  <c:v>Customer 28</c:v>
                </c:pt>
                <c:pt idx="21">
                  <c:v>Customer 29</c:v>
                </c:pt>
                <c:pt idx="22">
                  <c:v>Customer 3</c:v>
                </c:pt>
                <c:pt idx="23">
                  <c:v>Customer 30</c:v>
                </c:pt>
                <c:pt idx="24">
                  <c:v>Customer 31</c:v>
                </c:pt>
                <c:pt idx="25">
                  <c:v>Customer 32</c:v>
                </c:pt>
                <c:pt idx="26">
                  <c:v>Customer 33</c:v>
                </c:pt>
                <c:pt idx="27">
                  <c:v>Customer 34</c:v>
                </c:pt>
                <c:pt idx="28">
                  <c:v>Customer 35</c:v>
                </c:pt>
                <c:pt idx="29">
                  <c:v>Customer 36</c:v>
                </c:pt>
                <c:pt idx="30">
                  <c:v>Customer 37</c:v>
                </c:pt>
                <c:pt idx="31">
                  <c:v>Customer 38</c:v>
                </c:pt>
                <c:pt idx="32">
                  <c:v>Customer 39</c:v>
                </c:pt>
                <c:pt idx="33">
                  <c:v>Customer 4</c:v>
                </c:pt>
                <c:pt idx="34">
                  <c:v>Customer 40</c:v>
                </c:pt>
                <c:pt idx="35">
                  <c:v>Customer 5</c:v>
                </c:pt>
                <c:pt idx="36">
                  <c:v>Customer 6</c:v>
                </c:pt>
                <c:pt idx="37">
                  <c:v>Customer 7</c:v>
                </c:pt>
                <c:pt idx="38">
                  <c:v>Customer 8</c:v>
                </c:pt>
                <c:pt idx="39">
                  <c:v>Customer 9</c:v>
                </c:pt>
                <c:pt idx="40">
                  <c:v>Customer not found</c:v>
                </c:pt>
              </c:strCache>
            </c:strRef>
          </c:cat>
          <c:val>
            <c:numRef>
              <c:f>'Customer vs Sales'!$B$4:$B$45</c:f>
              <c:numCache>
                <c:formatCode>_(* #,##0.00_);_(* \(#,##0.00\);_(* "-"??_);_(@_)</c:formatCode>
                <c:ptCount val="41"/>
                <c:pt idx="0">
                  <c:v>1024.5</c:v>
                </c:pt>
                <c:pt idx="1">
                  <c:v>94</c:v>
                </c:pt>
                <c:pt idx="2">
                  <c:v>534</c:v>
                </c:pt>
                <c:pt idx="3">
                  <c:v>2501</c:v>
                </c:pt>
                <c:pt idx="4">
                  <c:v>482</c:v>
                </c:pt>
                <c:pt idx="5">
                  <c:v>400</c:v>
                </c:pt>
                <c:pt idx="6">
                  <c:v>130</c:v>
                </c:pt>
                <c:pt idx="7">
                  <c:v>1400</c:v>
                </c:pt>
                <c:pt idx="8">
                  <c:v>354.5</c:v>
                </c:pt>
                <c:pt idx="9">
                  <c:v>485</c:v>
                </c:pt>
                <c:pt idx="10">
                  <c:v>785</c:v>
                </c:pt>
                <c:pt idx="11">
                  <c:v>1466</c:v>
                </c:pt>
                <c:pt idx="12">
                  <c:v>123.25</c:v>
                </c:pt>
                <c:pt idx="13">
                  <c:v>525</c:v>
                </c:pt>
                <c:pt idx="14">
                  <c:v>1633.5</c:v>
                </c:pt>
                <c:pt idx="15">
                  <c:v>1580</c:v>
                </c:pt>
                <c:pt idx="16">
                  <c:v>527.5</c:v>
                </c:pt>
                <c:pt idx="17">
                  <c:v>1461</c:v>
                </c:pt>
                <c:pt idx="18">
                  <c:v>238</c:v>
                </c:pt>
                <c:pt idx="19">
                  <c:v>200</c:v>
                </c:pt>
                <c:pt idx="20">
                  <c:v>583</c:v>
                </c:pt>
                <c:pt idx="21">
                  <c:v>456</c:v>
                </c:pt>
                <c:pt idx="22">
                  <c:v>620</c:v>
                </c:pt>
                <c:pt idx="23">
                  <c:v>678.5</c:v>
                </c:pt>
                <c:pt idx="24">
                  <c:v>1156</c:v>
                </c:pt>
                <c:pt idx="25">
                  <c:v>1360.5</c:v>
                </c:pt>
                <c:pt idx="26">
                  <c:v>749</c:v>
                </c:pt>
                <c:pt idx="27">
                  <c:v>1160</c:v>
                </c:pt>
                <c:pt idx="28">
                  <c:v>118.75</c:v>
                </c:pt>
                <c:pt idx="29">
                  <c:v>1487.25</c:v>
                </c:pt>
                <c:pt idx="30">
                  <c:v>814</c:v>
                </c:pt>
                <c:pt idx="31">
                  <c:v>2532.5</c:v>
                </c:pt>
                <c:pt idx="32">
                  <c:v>915</c:v>
                </c:pt>
                <c:pt idx="33">
                  <c:v>295</c:v>
                </c:pt>
                <c:pt idx="34">
                  <c:v>415</c:v>
                </c:pt>
                <c:pt idx="35">
                  <c:v>1375</c:v>
                </c:pt>
                <c:pt idx="36">
                  <c:v>268</c:v>
                </c:pt>
                <c:pt idx="37">
                  <c:v>405.5</c:v>
                </c:pt>
                <c:pt idx="38">
                  <c:v>927.5</c:v>
                </c:pt>
                <c:pt idx="39">
                  <c:v>784.5</c:v>
                </c:pt>
                <c:pt idx="40">
                  <c:v>50</c:v>
                </c:pt>
              </c:numCache>
            </c:numRef>
          </c:val>
          <c:extLst>
            <c:ext xmlns:c16="http://schemas.microsoft.com/office/drawing/2014/chart" uri="{C3380CC4-5D6E-409C-BE32-E72D297353CC}">
              <c16:uniqueId val="{00000000-2045-4CAD-93A4-FF850A4265FD}"/>
            </c:ext>
          </c:extLst>
        </c:ser>
        <c:dLbls>
          <c:showLegendKey val="0"/>
          <c:showVal val="0"/>
          <c:showCatName val="0"/>
          <c:showSerName val="0"/>
          <c:showPercent val="0"/>
          <c:showBubbleSize val="0"/>
        </c:dLbls>
        <c:gapWidth val="219"/>
        <c:overlap val="-27"/>
        <c:axId val="2048931008"/>
        <c:axId val="2060828896"/>
      </c:barChart>
      <c:catAx>
        <c:axId val="204893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828896"/>
        <c:crosses val="autoZero"/>
        <c:auto val="1"/>
        <c:lblAlgn val="ctr"/>
        <c:lblOffset val="100"/>
        <c:noMultiLvlLbl val="0"/>
      </c:catAx>
      <c:valAx>
        <c:axId val="20608288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3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[Client_Project_001_Retail_Sales_Dataset- Final Analysis Report .xlsx]Region vs Sales!PivotTable2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Sales</a:t>
            </a:r>
          </a:p>
        </c:rich>
      </c:tx>
      <c:layout>
        <c:manualLayout>
          <c:xMode val="edge"/>
          <c:yMode val="edge"/>
          <c:x val="0.3170415573053368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vs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B15-48FA-8E71-6746864FCC9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B15-48FA-8E71-6746864FCC9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B15-48FA-8E71-6746864FCC9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B15-48FA-8E71-6746864FCC9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vs Sales'!$A$4:$A$8</c:f>
              <c:strCache>
                <c:ptCount val="4"/>
                <c:pt idx="0">
                  <c:v>East</c:v>
                </c:pt>
                <c:pt idx="1">
                  <c:v>North</c:v>
                </c:pt>
                <c:pt idx="2">
                  <c:v>South</c:v>
                </c:pt>
                <c:pt idx="3">
                  <c:v>West</c:v>
                </c:pt>
              </c:strCache>
            </c:strRef>
          </c:cat>
          <c:val>
            <c:numRef>
              <c:f>'Region vs Sales'!$B$4:$B$8</c:f>
              <c:numCache>
                <c:formatCode>_(* #,##0.00_);_(* \(#,##0.00\);_(* "-"??_);_(@_)</c:formatCode>
                <c:ptCount val="4"/>
                <c:pt idx="0">
                  <c:v>12541</c:v>
                </c:pt>
                <c:pt idx="1">
                  <c:v>7793</c:v>
                </c:pt>
                <c:pt idx="2">
                  <c:v>7684.25</c:v>
                </c:pt>
                <c:pt idx="3">
                  <c:v>5077</c:v>
                </c:pt>
              </c:numCache>
            </c:numRef>
          </c:val>
          <c:extLst>
            <c:ext xmlns:c16="http://schemas.microsoft.com/office/drawing/2014/chart" uri="{C3380CC4-5D6E-409C-BE32-E72D297353CC}">
              <c16:uniqueId val="{00000000-3C1D-41C9-9EB4-CC3E2245184A}"/>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[Client_Project_001_Retail_Sales_Dataset- Final Analysis Report .xlsx]Category vs Sales!PivotTable3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Sales</a:t>
            </a:r>
          </a:p>
        </c:rich>
      </c:tx>
      <c:layout>
        <c:manualLayout>
          <c:xMode val="edge"/>
          <c:yMode val="edge"/>
          <c:x val="0.2811456692913385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vs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EFE-4389-A461-11DD701C0A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EFE-4389-A461-11DD701C0AC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EFE-4389-A461-11DD701C0AC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vs Sales'!$A$4:$A$7</c:f>
              <c:strCache>
                <c:ptCount val="3"/>
                <c:pt idx="0">
                  <c:v>Electronics</c:v>
                </c:pt>
                <c:pt idx="1">
                  <c:v>Furniture</c:v>
                </c:pt>
                <c:pt idx="2">
                  <c:v>Office</c:v>
                </c:pt>
              </c:strCache>
            </c:strRef>
          </c:cat>
          <c:val>
            <c:numRef>
              <c:f>'Category vs Sales'!$B$4:$B$7</c:f>
              <c:numCache>
                <c:formatCode>_(* #,##0.00_);_(* \(#,##0.00\);_(* "-"??_);_(@_)</c:formatCode>
                <c:ptCount val="3"/>
                <c:pt idx="0">
                  <c:v>10898.5</c:v>
                </c:pt>
                <c:pt idx="1">
                  <c:v>5932.5</c:v>
                </c:pt>
                <c:pt idx="2">
                  <c:v>16264.25</c:v>
                </c:pt>
              </c:numCache>
            </c:numRef>
          </c:val>
          <c:extLst>
            <c:ext xmlns:c16="http://schemas.microsoft.com/office/drawing/2014/chart" uri="{C3380CC4-5D6E-409C-BE32-E72D297353CC}">
              <c16:uniqueId val="{00000000-B6A4-4F57-A0A6-4F7D0FF206F6}"/>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[Client_Project_001_Retail_Sales_Dataset- Final Analysis Report .xlsx]Product vs Sales!PivotTable4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vs Sales</a:t>
            </a:r>
          </a:p>
        </c:rich>
      </c:tx>
      <c:layout>
        <c:manualLayout>
          <c:xMode val="edge"/>
          <c:yMode val="edge"/>
          <c:x val="0.2979790026246719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vs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85-4B1D-AFFA-760BD065CCE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85-4B1D-AFFA-760BD065CCE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85-4B1D-AFFA-760BD065CCE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585-4B1D-AFFA-760BD065CCE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585-4B1D-AFFA-760BD065CC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vs Sales'!$A$4:$A$9</c:f>
              <c:strCache>
                <c:ptCount val="5"/>
                <c:pt idx="0">
                  <c:v>Chair</c:v>
                </c:pt>
                <c:pt idx="1">
                  <c:v>Keyboard</c:v>
                </c:pt>
                <c:pt idx="2">
                  <c:v>Mouse</c:v>
                </c:pt>
                <c:pt idx="3">
                  <c:v>Paper</c:v>
                </c:pt>
                <c:pt idx="4">
                  <c:v>Pen</c:v>
                </c:pt>
              </c:strCache>
            </c:strRef>
          </c:cat>
          <c:val>
            <c:numRef>
              <c:f>'Product vs Sales'!$B$4:$B$9</c:f>
              <c:numCache>
                <c:formatCode>_(* #,##0.00_);_(* \(#,##0.00\);_(* "-"??_);_(@_)</c:formatCode>
                <c:ptCount val="5"/>
                <c:pt idx="0">
                  <c:v>5932.5</c:v>
                </c:pt>
                <c:pt idx="1">
                  <c:v>5861.75</c:v>
                </c:pt>
                <c:pt idx="2">
                  <c:v>5036.75</c:v>
                </c:pt>
                <c:pt idx="3">
                  <c:v>8631</c:v>
                </c:pt>
                <c:pt idx="4">
                  <c:v>7633.25</c:v>
                </c:pt>
              </c:numCache>
            </c:numRef>
          </c:val>
          <c:extLst>
            <c:ext xmlns:c16="http://schemas.microsoft.com/office/drawing/2014/chart" uri="{C3380CC4-5D6E-409C-BE32-E72D297353CC}">
              <c16:uniqueId val="{00000000-D108-4E39-AFD9-39DB589426A1}"/>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[Client_Project_001_Retail_Sales_Dataset- Final Analysis Report .xlsx]Customer vs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t>
            </a:r>
            <a:r>
              <a:rPr lang="en-US" baseline="0"/>
              <a:t>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vs Sales'!$B$3</c:f>
              <c:strCache>
                <c:ptCount val="1"/>
                <c:pt idx="0">
                  <c:v>Total</c:v>
                </c:pt>
              </c:strCache>
            </c:strRef>
          </c:tx>
          <c:spPr>
            <a:solidFill>
              <a:schemeClr val="accent1"/>
            </a:solidFill>
            <a:ln>
              <a:noFill/>
            </a:ln>
            <a:effectLst/>
          </c:spPr>
          <c:invertIfNegative val="0"/>
          <c:cat>
            <c:strRef>
              <c:f>'Customer vs Sales'!$A$4:$A$45</c:f>
              <c:strCache>
                <c:ptCount val="41"/>
                <c:pt idx="0">
                  <c:v>Customer 1</c:v>
                </c:pt>
                <c:pt idx="1">
                  <c:v>Customer 10</c:v>
                </c:pt>
                <c:pt idx="2">
                  <c:v>Customer 11</c:v>
                </c:pt>
                <c:pt idx="3">
                  <c:v>Customer 12</c:v>
                </c:pt>
                <c:pt idx="4">
                  <c:v>Customer 13</c:v>
                </c:pt>
                <c:pt idx="5">
                  <c:v>Customer 14</c:v>
                </c:pt>
                <c:pt idx="6">
                  <c:v>Customer 15</c:v>
                </c:pt>
                <c:pt idx="7">
                  <c:v>Customer 16</c:v>
                </c:pt>
                <c:pt idx="8">
                  <c:v>Customer 17</c:v>
                </c:pt>
                <c:pt idx="9">
                  <c:v>Customer 18</c:v>
                </c:pt>
                <c:pt idx="10">
                  <c:v>Customer 19</c:v>
                </c:pt>
                <c:pt idx="11">
                  <c:v>Customer 2</c:v>
                </c:pt>
                <c:pt idx="12">
                  <c:v>Customer 20</c:v>
                </c:pt>
                <c:pt idx="13">
                  <c:v>Customer 21</c:v>
                </c:pt>
                <c:pt idx="14">
                  <c:v>Customer 22</c:v>
                </c:pt>
                <c:pt idx="15">
                  <c:v>Customer 23</c:v>
                </c:pt>
                <c:pt idx="16">
                  <c:v>Customer 24</c:v>
                </c:pt>
                <c:pt idx="17">
                  <c:v>Customer 25</c:v>
                </c:pt>
                <c:pt idx="18">
                  <c:v>Customer 26</c:v>
                </c:pt>
                <c:pt idx="19">
                  <c:v>Customer 27</c:v>
                </c:pt>
                <c:pt idx="20">
                  <c:v>Customer 28</c:v>
                </c:pt>
                <c:pt idx="21">
                  <c:v>Customer 29</c:v>
                </c:pt>
                <c:pt idx="22">
                  <c:v>Customer 3</c:v>
                </c:pt>
                <c:pt idx="23">
                  <c:v>Customer 30</c:v>
                </c:pt>
                <c:pt idx="24">
                  <c:v>Customer 31</c:v>
                </c:pt>
                <c:pt idx="25">
                  <c:v>Customer 32</c:v>
                </c:pt>
                <c:pt idx="26">
                  <c:v>Customer 33</c:v>
                </c:pt>
                <c:pt idx="27">
                  <c:v>Customer 34</c:v>
                </c:pt>
                <c:pt idx="28">
                  <c:v>Customer 35</c:v>
                </c:pt>
                <c:pt idx="29">
                  <c:v>Customer 36</c:v>
                </c:pt>
                <c:pt idx="30">
                  <c:v>Customer 37</c:v>
                </c:pt>
                <c:pt idx="31">
                  <c:v>Customer 38</c:v>
                </c:pt>
                <c:pt idx="32">
                  <c:v>Customer 39</c:v>
                </c:pt>
                <c:pt idx="33">
                  <c:v>Customer 4</c:v>
                </c:pt>
                <c:pt idx="34">
                  <c:v>Customer 40</c:v>
                </c:pt>
                <c:pt idx="35">
                  <c:v>Customer 5</c:v>
                </c:pt>
                <c:pt idx="36">
                  <c:v>Customer 6</c:v>
                </c:pt>
                <c:pt idx="37">
                  <c:v>Customer 7</c:v>
                </c:pt>
                <c:pt idx="38">
                  <c:v>Customer 8</c:v>
                </c:pt>
                <c:pt idx="39">
                  <c:v>Customer 9</c:v>
                </c:pt>
                <c:pt idx="40">
                  <c:v>Customer not found</c:v>
                </c:pt>
              </c:strCache>
            </c:strRef>
          </c:cat>
          <c:val>
            <c:numRef>
              <c:f>'Customer vs Sales'!$B$4:$B$45</c:f>
              <c:numCache>
                <c:formatCode>_(* #,##0.00_);_(* \(#,##0.00\);_(* "-"??_);_(@_)</c:formatCode>
                <c:ptCount val="41"/>
                <c:pt idx="0">
                  <c:v>1024.5</c:v>
                </c:pt>
                <c:pt idx="1">
                  <c:v>94</c:v>
                </c:pt>
                <c:pt idx="2">
                  <c:v>534</c:v>
                </c:pt>
                <c:pt idx="3">
                  <c:v>2501</c:v>
                </c:pt>
                <c:pt idx="4">
                  <c:v>482</c:v>
                </c:pt>
                <c:pt idx="5">
                  <c:v>400</c:v>
                </c:pt>
                <c:pt idx="6">
                  <c:v>130</c:v>
                </c:pt>
                <c:pt idx="7">
                  <c:v>1400</c:v>
                </c:pt>
                <c:pt idx="8">
                  <c:v>354.5</c:v>
                </c:pt>
                <c:pt idx="9">
                  <c:v>485</c:v>
                </c:pt>
                <c:pt idx="10">
                  <c:v>785</c:v>
                </c:pt>
                <c:pt idx="11">
                  <c:v>1466</c:v>
                </c:pt>
                <c:pt idx="12">
                  <c:v>123.25</c:v>
                </c:pt>
                <c:pt idx="13">
                  <c:v>525</c:v>
                </c:pt>
                <c:pt idx="14">
                  <c:v>1633.5</c:v>
                </c:pt>
                <c:pt idx="15">
                  <c:v>1580</c:v>
                </c:pt>
                <c:pt idx="16">
                  <c:v>527.5</c:v>
                </c:pt>
                <c:pt idx="17">
                  <c:v>1461</c:v>
                </c:pt>
                <c:pt idx="18">
                  <c:v>238</c:v>
                </c:pt>
                <c:pt idx="19">
                  <c:v>200</c:v>
                </c:pt>
                <c:pt idx="20">
                  <c:v>583</c:v>
                </c:pt>
                <c:pt idx="21">
                  <c:v>456</c:v>
                </c:pt>
                <c:pt idx="22">
                  <c:v>620</c:v>
                </c:pt>
                <c:pt idx="23">
                  <c:v>678.5</c:v>
                </c:pt>
                <c:pt idx="24">
                  <c:v>1156</c:v>
                </c:pt>
                <c:pt idx="25">
                  <c:v>1360.5</c:v>
                </c:pt>
                <c:pt idx="26">
                  <c:v>749</c:v>
                </c:pt>
                <c:pt idx="27">
                  <c:v>1160</c:v>
                </c:pt>
                <c:pt idx="28">
                  <c:v>118.75</c:v>
                </c:pt>
                <c:pt idx="29">
                  <c:v>1487.25</c:v>
                </c:pt>
                <c:pt idx="30">
                  <c:v>814</c:v>
                </c:pt>
                <c:pt idx="31">
                  <c:v>2532.5</c:v>
                </c:pt>
                <c:pt idx="32">
                  <c:v>915</c:v>
                </c:pt>
                <c:pt idx="33">
                  <c:v>295</c:v>
                </c:pt>
                <c:pt idx="34">
                  <c:v>415</c:v>
                </c:pt>
                <c:pt idx="35">
                  <c:v>1375</c:v>
                </c:pt>
                <c:pt idx="36">
                  <c:v>268</c:v>
                </c:pt>
                <c:pt idx="37">
                  <c:v>405.5</c:v>
                </c:pt>
                <c:pt idx="38">
                  <c:v>927.5</c:v>
                </c:pt>
                <c:pt idx="39">
                  <c:v>784.5</c:v>
                </c:pt>
                <c:pt idx="40">
                  <c:v>50</c:v>
                </c:pt>
              </c:numCache>
            </c:numRef>
          </c:val>
          <c:extLst>
            <c:ext xmlns:c16="http://schemas.microsoft.com/office/drawing/2014/chart" uri="{C3380CC4-5D6E-409C-BE32-E72D297353CC}">
              <c16:uniqueId val="{00000000-4D1C-48A7-B84B-0F20B6C33325}"/>
            </c:ext>
          </c:extLst>
        </c:ser>
        <c:dLbls>
          <c:showLegendKey val="0"/>
          <c:showVal val="0"/>
          <c:showCatName val="0"/>
          <c:showSerName val="0"/>
          <c:showPercent val="0"/>
          <c:showBubbleSize val="0"/>
        </c:dLbls>
        <c:gapWidth val="219"/>
        <c:overlap val="-27"/>
        <c:axId val="2048931008"/>
        <c:axId val="2060828896"/>
      </c:barChart>
      <c:catAx>
        <c:axId val="204893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828896"/>
        <c:crosses val="autoZero"/>
        <c:auto val="1"/>
        <c:lblAlgn val="ctr"/>
        <c:lblOffset val="100"/>
        <c:noMultiLvlLbl val="0"/>
      </c:catAx>
      <c:valAx>
        <c:axId val="20608288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3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[Client_Project_001_Retail_Sales_Dataset- Final Analysis Report .xlsx]Region vs Sales!PivotTable2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Sales</a:t>
            </a:r>
          </a:p>
        </c:rich>
      </c:tx>
      <c:layout>
        <c:manualLayout>
          <c:xMode val="edge"/>
          <c:yMode val="edge"/>
          <c:x val="0.3170415573053368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vs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8CE-458F-AB86-64F4661EE72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8CE-458F-AB86-64F4661EE72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8CE-458F-AB86-64F4661EE72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8CE-458F-AB86-64F4661EE72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vs Sales'!$A$4:$A$8</c:f>
              <c:strCache>
                <c:ptCount val="4"/>
                <c:pt idx="0">
                  <c:v>East</c:v>
                </c:pt>
                <c:pt idx="1">
                  <c:v>North</c:v>
                </c:pt>
                <c:pt idx="2">
                  <c:v>South</c:v>
                </c:pt>
                <c:pt idx="3">
                  <c:v>West</c:v>
                </c:pt>
              </c:strCache>
            </c:strRef>
          </c:cat>
          <c:val>
            <c:numRef>
              <c:f>'Region vs Sales'!$B$4:$B$8</c:f>
              <c:numCache>
                <c:formatCode>_(* #,##0.00_);_(* \(#,##0.00\);_(* "-"??_);_(@_)</c:formatCode>
                <c:ptCount val="4"/>
                <c:pt idx="0">
                  <c:v>12541</c:v>
                </c:pt>
                <c:pt idx="1">
                  <c:v>7793</c:v>
                </c:pt>
                <c:pt idx="2">
                  <c:v>7684.25</c:v>
                </c:pt>
                <c:pt idx="3">
                  <c:v>5077</c:v>
                </c:pt>
              </c:numCache>
            </c:numRef>
          </c:val>
          <c:extLst>
            <c:ext xmlns:c16="http://schemas.microsoft.com/office/drawing/2014/chart" uri="{C3380CC4-5D6E-409C-BE32-E72D297353CC}">
              <c16:uniqueId val="{00000008-B8CE-458F-AB86-64F4661EE724}"/>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[Client_Project_001_Retail_Sales_Dataset- Final Analysis Report .xlsx]Category vs Sales!PivotTable3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vs Sales</a:t>
            </a:r>
          </a:p>
        </c:rich>
      </c:tx>
      <c:layout>
        <c:manualLayout>
          <c:xMode val="edge"/>
          <c:yMode val="edge"/>
          <c:x val="0.2811456692913385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vs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CC-4719-AC80-3CCFE710A8E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CC-4719-AC80-3CCFE710A8E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CC-4719-AC80-3CCFE710A8E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vs Sales'!$A$4:$A$7</c:f>
              <c:strCache>
                <c:ptCount val="3"/>
                <c:pt idx="0">
                  <c:v>Electronics</c:v>
                </c:pt>
                <c:pt idx="1">
                  <c:v>Furniture</c:v>
                </c:pt>
                <c:pt idx="2">
                  <c:v>Office</c:v>
                </c:pt>
              </c:strCache>
            </c:strRef>
          </c:cat>
          <c:val>
            <c:numRef>
              <c:f>'Category vs Sales'!$B$4:$B$7</c:f>
              <c:numCache>
                <c:formatCode>_(* #,##0.00_);_(* \(#,##0.00\);_(* "-"??_);_(@_)</c:formatCode>
                <c:ptCount val="3"/>
                <c:pt idx="0">
                  <c:v>10898.5</c:v>
                </c:pt>
                <c:pt idx="1">
                  <c:v>5932.5</c:v>
                </c:pt>
                <c:pt idx="2">
                  <c:v>16264.25</c:v>
                </c:pt>
              </c:numCache>
            </c:numRef>
          </c:val>
          <c:extLst>
            <c:ext xmlns:c16="http://schemas.microsoft.com/office/drawing/2014/chart" uri="{C3380CC4-5D6E-409C-BE32-E72D297353CC}">
              <c16:uniqueId val="{00000006-52CC-4719-AC80-3CCFE710A8E3}"/>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[Client_Project_001_Retail_Sales_Dataset- Final Analysis Report .xlsx]Product vs Sales!PivotTable4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vs Sales</a:t>
            </a:r>
          </a:p>
        </c:rich>
      </c:tx>
      <c:layout>
        <c:manualLayout>
          <c:xMode val="edge"/>
          <c:yMode val="edge"/>
          <c:x val="0.29797900262467192"/>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vs 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CD-40EC-9C09-41C8F31ADE4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CD-40EC-9C09-41C8F31ADE4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CD-40EC-9C09-41C8F31ADE4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CD-40EC-9C09-41C8F31ADE4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8CD-40EC-9C09-41C8F31ADE4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vs Sales'!$A$4:$A$9</c:f>
              <c:strCache>
                <c:ptCount val="5"/>
                <c:pt idx="0">
                  <c:v>Chair</c:v>
                </c:pt>
                <c:pt idx="1">
                  <c:v>Keyboard</c:v>
                </c:pt>
                <c:pt idx="2">
                  <c:v>Mouse</c:v>
                </c:pt>
                <c:pt idx="3">
                  <c:v>Paper</c:v>
                </c:pt>
                <c:pt idx="4">
                  <c:v>Pen</c:v>
                </c:pt>
              </c:strCache>
            </c:strRef>
          </c:cat>
          <c:val>
            <c:numRef>
              <c:f>'Product vs Sales'!$B$4:$B$9</c:f>
              <c:numCache>
                <c:formatCode>_(* #,##0.00_);_(* \(#,##0.00\);_(* "-"??_);_(@_)</c:formatCode>
                <c:ptCount val="5"/>
                <c:pt idx="0">
                  <c:v>5932.5</c:v>
                </c:pt>
                <c:pt idx="1">
                  <c:v>5861.75</c:v>
                </c:pt>
                <c:pt idx="2">
                  <c:v>5036.75</c:v>
                </c:pt>
                <c:pt idx="3">
                  <c:v>8631</c:v>
                </c:pt>
                <c:pt idx="4">
                  <c:v>7633.25</c:v>
                </c:pt>
              </c:numCache>
            </c:numRef>
          </c:val>
          <c:extLst>
            <c:ext xmlns:c16="http://schemas.microsoft.com/office/drawing/2014/chart" uri="{C3380CC4-5D6E-409C-BE32-E72D297353CC}">
              <c16:uniqueId val="{0000000A-98CD-40EC-9C09-41C8F31ADE4D}"/>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487680</xdr:colOff>
      <xdr:row>1</xdr:row>
      <xdr:rowOff>129540</xdr:rowOff>
    </xdr:from>
    <xdr:to>
      <xdr:col>15</xdr:col>
      <xdr:colOff>190500</xdr:colOff>
      <xdr:row>21</xdr:row>
      <xdr:rowOff>60960</xdr:rowOff>
    </xdr:to>
    <xdr:graphicFrame macro="">
      <xdr:nvGraphicFramePr>
        <xdr:cNvPr id="2" name="Chart 1">
          <a:extLst>
            <a:ext uri="{FF2B5EF4-FFF2-40B4-BE49-F238E27FC236}">
              <a16:creationId xmlns:a16="http://schemas.microsoft.com/office/drawing/2014/main" id="{D3619EDE-1085-B0F8-8882-8174CBB55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289560</xdr:colOff>
      <xdr:row>1</xdr:row>
      <xdr:rowOff>160020</xdr:rowOff>
    </xdr:from>
    <xdr:to>
      <xdr:col>13</xdr:col>
      <xdr:colOff>541020</xdr:colOff>
      <xdr:row>21</xdr:row>
      <xdr:rowOff>38100</xdr:rowOff>
    </xdr:to>
    <xdr:graphicFrame macro="">
      <xdr:nvGraphicFramePr>
        <xdr:cNvPr id="2" name="Chart 1">
          <a:extLst>
            <a:ext uri="{FF2B5EF4-FFF2-40B4-BE49-F238E27FC236}">
              <a16:creationId xmlns:a16="http://schemas.microsoft.com/office/drawing/2014/main" id="{C50A8337-0BA1-8342-9DBD-D2FFD71EE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182880</xdr:colOff>
      <xdr:row>1</xdr:row>
      <xdr:rowOff>175260</xdr:rowOff>
    </xdr:from>
    <xdr:to>
      <xdr:col>12</xdr:col>
      <xdr:colOff>83820</xdr:colOff>
      <xdr:row>19</xdr:row>
      <xdr:rowOff>114300</xdr:rowOff>
    </xdr:to>
    <xdr:graphicFrame macro="">
      <xdr:nvGraphicFramePr>
        <xdr:cNvPr id="2" name="Chart 1">
          <a:extLst>
            <a:ext uri="{FF2B5EF4-FFF2-40B4-BE49-F238E27FC236}">
              <a16:creationId xmlns:a16="http://schemas.microsoft.com/office/drawing/2014/main" id="{36DFB4AE-54AC-F454-0D12-E3F76605D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2</xdr:row>
      <xdr:rowOff>0</xdr:rowOff>
    </xdr:from>
    <xdr:to>
      <xdr:col>12</xdr:col>
      <xdr:colOff>586740</xdr:colOff>
      <xdr:row>20</xdr:row>
      <xdr:rowOff>175260</xdr:rowOff>
    </xdr:to>
    <xdr:graphicFrame macro="">
      <xdr:nvGraphicFramePr>
        <xdr:cNvPr id="3" name="Chart 2">
          <a:extLst>
            <a:ext uri="{FF2B5EF4-FFF2-40B4-BE49-F238E27FC236}">
              <a16:creationId xmlns:a16="http://schemas.microsoft.com/office/drawing/2014/main" id="{093665FD-0589-43B9-7925-38E29AB49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0</xdr:colOff>
      <xdr:row>14</xdr:row>
      <xdr:rowOff>0</xdr:rowOff>
    </xdr:from>
    <xdr:to>
      <xdr:col>21</xdr:col>
      <xdr:colOff>297180</xdr:colOff>
      <xdr:row>33</xdr:row>
      <xdr:rowOff>114300</xdr:rowOff>
    </xdr:to>
    <xdr:graphicFrame macro="">
      <xdr:nvGraphicFramePr>
        <xdr:cNvPr id="3" name="Chart 2">
          <a:extLst>
            <a:ext uri="{FF2B5EF4-FFF2-40B4-BE49-F238E27FC236}">
              <a16:creationId xmlns:a16="http://schemas.microsoft.com/office/drawing/2014/main" id="{139560CB-9FA0-47F0-B1B3-3F37B0F6C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35</xdr:row>
      <xdr:rowOff>15240</xdr:rowOff>
    </xdr:from>
    <xdr:to>
      <xdr:col>16</xdr:col>
      <xdr:colOff>365760</xdr:colOff>
      <xdr:row>49</xdr:row>
      <xdr:rowOff>114300</xdr:rowOff>
    </xdr:to>
    <xdr:graphicFrame macro="">
      <xdr:nvGraphicFramePr>
        <xdr:cNvPr id="5" name="Chart 4">
          <a:extLst>
            <a:ext uri="{FF2B5EF4-FFF2-40B4-BE49-F238E27FC236}">
              <a16:creationId xmlns:a16="http://schemas.microsoft.com/office/drawing/2014/main" id="{FCE84395-EAA8-49EC-9606-429728410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441960</xdr:colOff>
      <xdr:row>34</xdr:row>
      <xdr:rowOff>175260</xdr:rowOff>
    </xdr:from>
    <xdr:to>
      <xdr:col>24</xdr:col>
      <xdr:colOff>160020</xdr:colOff>
      <xdr:row>49</xdr:row>
      <xdr:rowOff>167640</xdr:rowOff>
    </xdr:to>
    <xdr:graphicFrame macro="">
      <xdr:nvGraphicFramePr>
        <xdr:cNvPr id="7" name="Chart 6">
          <a:extLst>
            <a:ext uri="{FF2B5EF4-FFF2-40B4-BE49-F238E27FC236}">
              <a16:creationId xmlns:a16="http://schemas.microsoft.com/office/drawing/2014/main" id="{F675F582-E842-4D08-BA42-08B7C4920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xdr:colOff>
      <xdr:row>52</xdr:row>
      <xdr:rowOff>22860</xdr:rowOff>
    </xdr:from>
    <xdr:to>
      <xdr:col>17</xdr:col>
      <xdr:colOff>320040</xdr:colOff>
      <xdr:row>67</xdr:row>
      <xdr:rowOff>45720</xdr:rowOff>
    </xdr:to>
    <xdr:graphicFrame macro="">
      <xdr:nvGraphicFramePr>
        <xdr:cNvPr id="9" name="Chart 8">
          <a:extLst>
            <a:ext uri="{FF2B5EF4-FFF2-40B4-BE49-F238E27FC236}">
              <a16:creationId xmlns:a16="http://schemas.microsoft.com/office/drawing/2014/main" id="{3B50BFC1-62E4-4A07-9142-DDED96053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327660</xdr:colOff>
      <xdr:row>85</xdr:row>
      <xdr:rowOff>10655</xdr:rowOff>
    </xdr:from>
    <xdr:to>
      <xdr:col>9</xdr:col>
      <xdr:colOff>475447</xdr:colOff>
      <xdr:row>95</xdr:row>
      <xdr:rowOff>68581</xdr:rowOff>
    </xdr:to>
    <xdr:pic>
      <xdr:nvPicPr>
        <xdr:cNvPr id="5" name="Picture 4">
          <a:extLst>
            <a:ext uri="{FF2B5EF4-FFF2-40B4-BE49-F238E27FC236}">
              <a16:creationId xmlns:a16="http://schemas.microsoft.com/office/drawing/2014/main" id="{B29584B5-A115-0C3A-6714-35C93ACA37E8}"/>
            </a:ext>
          </a:extLst>
        </xdr:cNvPr>
        <xdr:cNvPicPr>
          <a:picLocks noChangeAspect="1"/>
        </xdr:cNvPicPr>
      </xdr:nvPicPr>
      <xdr:blipFill>
        <a:blip xmlns:r="http://schemas.openxmlformats.org/officeDocument/2006/relationships" r:embed="rId1"/>
        <a:stretch>
          <a:fillRect/>
        </a:stretch>
      </xdr:blipFill>
      <xdr:spPr>
        <a:xfrm>
          <a:off x="1546860" y="17696675"/>
          <a:ext cx="4414987" cy="2039126"/>
        </a:xfrm>
        <a:prstGeom prst="rect">
          <a:avLst/>
        </a:prstGeom>
      </xdr:spPr>
    </xdr:pic>
    <xdr:clientData/>
  </xdr:twoCellAnchor>
  <xdr:twoCellAnchor editAs="oneCell">
    <xdr:from>
      <xdr:col>0</xdr:col>
      <xdr:colOff>609599</xdr:colOff>
      <xdr:row>98</xdr:row>
      <xdr:rowOff>95142</xdr:rowOff>
    </xdr:from>
    <xdr:to>
      <xdr:col>9</xdr:col>
      <xdr:colOff>279743</xdr:colOff>
      <xdr:row>109</xdr:row>
      <xdr:rowOff>182880</xdr:rowOff>
    </xdr:to>
    <xdr:pic>
      <xdr:nvPicPr>
        <xdr:cNvPr id="9" name="Picture 8">
          <a:extLst>
            <a:ext uri="{FF2B5EF4-FFF2-40B4-BE49-F238E27FC236}">
              <a16:creationId xmlns:a16="http://schemas.microsoft.com/office/drawing/2014/main" id="{8DF1DADD-FB18-B717-DA81-7052E6D6FCCA}"/>
            </a:ext>
          </a:extLst>
        </xdr:cNvPr>
        <xdr:cNvPicPr>
          <a:picLocks noChangeAspect="1"/>
        </xdr:cNvPicPr>
      </xdr:nvPicPr>
      <xdr:blipFill>
        <a:blip xmlns:r="http://schemas.openxmlformats.org/officeDocument/2006/relationships" r:embed="rId2"/>
        <a:stretch>
          <a:fillRect/>
        </a:stretch>
      </xdr:blipFill>
      <xdr:spPr>
        <a:xfrm>
          <a:off x="609599" y="20356722"/>
          <a:ext cx="5156544" cy="2267058"/>
        </a:xfrm>
        <a:prstGeom prst="rect">
          <a:avLst/>
        </a:prstGeom>
      </xdr:spPr>
    </xdr:pic>
    <xdr:clientData/>
  </xdr:twoCellAnchor>
  <xdr:twoCellAnchor editAs="oneCell">
    <xdr:from>
      <xdr:col>9</xdr:col>
      <xdr:colOff>606736</xdr:colOff>
      <xdr:row>80</xdr:row>
      <xdr:rowOff>175260</xdr:rowOff>
    </xdr:from>
    <xdr:to>
      <xdr:col>22</xdr:col>
      <xdr:colOff>54659</xdr:colOff>
      <xdr:row>101</xdr:row>
      <xdr:rowOff>107430</xdr:rowOff>
    </xdr:to>
    <xdr:pic>
      <xdr:nvPicPr>
        <xdr:cNvPr id="11" name="Picture 10">
          <a:extLst>
            <a:ext uri="{FF2B5EF4-FFF2-40B4-BE49-F238E27FC236}">
              <a16:creationId xmlns:a16="http://schemas.microsoft.com/office/drawing/2014/main" id="{BC6692B4-0F01-5880-2E00-438ED96685EA}"/>
            </a:ext>
          </a:extLst>
        </xdr:cNvPr>
        <xdr:cNvPicPr>
          <a:picLocks noChangeAspect="1"/>
        </xdr:cNvPicPr>
      </xdr:nvPicPr>
      <xdr:blipFill>
        <a:blip xmlns:r="http://schemas.openxmlformats.org/officeDocument/2006/relationships" r:embed="rId3"/>
        <a:stretch>
          <a:fillRect/>
        </a:stretch>
      </xdr:blipFill>
      <xdr:spPr>
        <a:xfrm>
          <a:off x="6093136" y="16771620"/>
          <a:ext cx="7372723" cy="41917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5.923065740739" createdVersion="8" refreshedVersion="8" minRefreshableVersion="3" recordCount="200" xr:uid="{096AEF02-D0EF-46C0-A464-EECF80AFEB9D}">
  <cacheSource type="worksheet">
    <worksheetSource name="Table1"/>
  </cacheSource>
  <cacheFields count="10">
    <cacheField name="Order ID" numFmtId="0">
      <sharedItems containsSemiMixedTypes="0" containsString="0" containsNumber="1" containsInteger="1" minValue="1001" maxValue="1200"/>
    </cacheField>
    <cacheField name="Order Date" numFmtId="164">
      <sharedItems containsSemiMixedTypes="0" containsNonDate="0" containsDate="1" containsString="0" minDate="2026-01-02T00:00:00" maxDate="2026-06-29T00:00:00"/>
    </cacheField>
    <cacheField name="Customer" numFmtId="0">
      <sharedItems count="41">
        <s v="Customer 36"/>
        <s v="Customer 38"/>
        <s v="Customer 25"/>
        <s v="Customer not found"/>
        <s v="Customer 32"/>
        <s v="Customer 33"/>
        <s v="Customer 31"/>
        <s v="Customer 18"/>
        <s v="Customer 9"/>
        <s v="Customer 16"/>
        <s v="Customer 2"/>
        <s v="Customer 12"/>
        <s v="Customer 7"/>
        <s v="Customer 14"/>
        <s v="Customer 21"/>
        <s v="Customer 30"/>
        <s v="Customer 4"/>
        <s v="Customer 26"/>
        <s v="Customer 39"/>
        <s v="Customer 13"/>
        <s v="Customer 29"/>
        <s v="Customer 1"/>
        <s v="Customer 20"/>
        <s v="Customer 11"/>
        <s v="Customer 24"/>
        <s v="Customer 3"/>
        <s v="Customer 23"/>
        <s v="Customer 17"/>
        <s v="Customer 15"/>
        <s v="Customer 8"/>
        <s v="Customer 37"/>
        <s v="Customer 6"/>
        <s v="Customer 34"/>
        <s v="Customer 10"/>
        <s v="Customer 28"/>
        <s v="Customer 5"/>
        <s v="Customer 22"/>
        <s v="Customer 35"/>
        <s v="Customer 27"/>
        <s v="Customer 40"/>
        <s v="Customer 19"/>
      </sharedItems>
    </cacheField>
    <cacheField name="Region" numFmtId="0">
      <sharedItems count="4">
        <s v="West"/>
        <s v="North"/>
        <s v="East"/>
        <s v="South"/>
      </sharedItems>
    </cacheField>
    <cacheField name="Category" numFmtId="0">
      <sharedItems count="3">
        <s v="Office"/>
        <s v="Furniture"/>
        <s v="Electronics"/>
      </sharedItems>
    </cacheField>
    <cacheField name="Product" numFmtId="0">
      <sharedItems count="5">
        <s v="Paper"/>
        <s v="Chair"/>
        <s v="Mouse"/>
        <s v="Keyboard"/>
        <s v="Pen"/>
      </sharedItems>
    </cacheField>
    <cacheField name="Qty" numFmtId="0">
      <sharedItems containsSemiMixedTypes="0" containsString="0" containsNumber="1" containsInteger="1" minValue="1" maxValue="10"/>
    </cacheField>
    <cacheField name="Unit Price (Currency)" numFmtId="43">
      <sharedItems containsSemiMixedTypes="0" containsString="0" containsNumber="1" containsInteger="1" minValue="5" maxValue="100"/>
    </cacheField>
    <cacheField name="Discount (%)" numFmtId="0">
      <sharedItems containsSemiMixedTypes="0" containsString="0" containsNumber="1" containsInteger="1" minValue="0" maxValue="10"/>
    </cacheField>
    <cacheField name="Total (Currency )" numFmtId="43">
      <sharedItems containsSemiMixedTypes="0" containsString="0" containsNumber="1" minValue="4.5" maxValue="1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01"/>
    <d v="2026-06-28T00:00:00"/>
    <x v="0"/>
    <x v="0"/>
    <x v="0"/>
    <x v="0"/>
    <n v="3"/>
    <n v="5"/>
    <n v="5"/>
    <n v="14.25"/>
  </r>
  <r>
    <n v="1002"/>
    <d v="2026-03-24T00:00:00"/>
    <x v="1"/>
    <x v="1"/>
    <x v="1"/>
    <x v="1"/>
    <n v="8"/>
    <n v="20"/>
    <n v="0"/>
    <n v="160"/>
  </r>
  <r>
    <n v="1003"/>
    <d v="2026-02-11T00:00:00"/>
    <x v="2"/>
    <x v="2"/>
    <x v="1"/>
    <x v="1"/>
    <n v="4"/>
    <n v="20"/>
    <n v="5"/>
    <n v="76"/>
  </r>
  <r>
    <n v="1004"/>
    <d v="2026-02-19T00:00:00"/>
    <x v="3"/>
    <x v="3"/>
    <x v="2"/>
    <x v="2"/>
    <n v="5"/>
    <n v="10"/>
    <n v="0"/>
    <n v="50"/>
  </r>
  <r>
    <n v="1005"/>
    <d v="2026-05-27T00:00:00"/>
    <x v="4"/>
    <x v="1"/>
    <x v="0"/>
    <x v="0"/>
    <n v="10"/>
    <n v="50"/>
    <n v="5"/>
    <n v="475"/>
  </r>
  <r>
    <n v="1006"/>
    <d v="2026-06-11T00:00:00"/>
    <x v="5"/>
    <x v="3"/>
    <x v="2"/>
    <x v="3"/>
    <n v="3"/>
    <n v="5"/>
    <n v="5"/>
    <n v="14.25"/>
  </r>
  <r>
    <n v="1007"/>
    <d v="2026-01-08T00:00:00"/>
    <x v="4"/>
    <x v="2"/>
    <x v="0"/>
    <x v="4"/>
    <n v="3"/>
    <n v="100"/>
    <n v="5"/>
    <n v="285"/>
  </r>
  <r>
    <n v="1008"/>
    <d v="2026-03-05T00:00:00"/>
    <x v="6"/>
    <x v="3"/>
    <x v="0"/>
    <x v="0"/>
    <n v="8"/>
    <n v="100"/>
    <n v="5"/>
    <n v="760"/>
  </r>
  <r>
    <n v="1009"/>
    <d v="2026-04-05T00:00:00"/>
    <x v="1"/>
    <x v="1"/>
    <x v="2"/>
    <x v="3"/>
    <n v="9"/>
    <n v="10"/>
    <n v="5"/>
    <n v="85.5"/>
  </r>
  <r>
    <n v="1010"/>
    <d v="2026-03-08T00:00:00"/>
    <x v="7"/>
    <x v="1"/>
    <x v="2"/>
    <x v="3"/>
    <n v="2"/>
    <n v="50"/>
    <n v="0"/>
    <n v="100"/>
  </r>
  <r>
    <n v="1011"/>
    <d v="2026-04-10T00:00:00"/>
    <x v="8"/>
    <x v="2"/>
    <x v="1"/>
    <x v="1"/>
    <n v="3"/>
    <n v="50"/>
    <n v="0"/>
    <n v="150"/>
  </r>
  <r>
    <n v="1012"/>
    <d v="2026-04-01T00:00:00"/>
    <x v="9"/>
    <x v="1"/>
    <x v="0"/>
    <x v="4"/>
    <n v="1"/>
    <n v="50"/>
    <n v="0"/>
    <n v="50"/>
  </r>
  <r>
    <n v="1013"/>
    <d v="2026-01-24T00:00:00"/>
    <x v="10"/>
    <x v="2"/>
    <x v="0"/>
    <x v="4"/>
    <n v="8"/>
    <n v="50"/>
    <n v="10"/>
    <n v="360"/>
  </r>
  <r>
    <n v="1014"/>
    <d v="2026-04-21T00:00:00"/>
    <x v="11"/>
    <x v="2"/>
    <x v="2"/>
    <x v="3"/>
    <n v="2"/>
    <n v="5"/>
    <n v="0"/>
    <n v="10"/>
  </r>
  <r>
    <n v="1015"/>
    <d v="2026-04-25T00:00:00"/>
    <x v="12"/>
    <x v="3"/>
    <x v="0"/>
    <x v="0"/>
    <n v="9"/>
    <n v="10"/>
    <n v="10"/>
    <n v="81"/>
  </r>
  <r>
    <n v="1016"/>
    <d v="2026-05-08T00:00:00"/>
    <x v="10"/>
    <x v="3"/>
    <x v="0"/>
    <x v="0"/>
    <n v="3"/>
    <n v="5"/>
    <n v="0"/>
    <n v="15"/>
  </r>
  <r>
    <n v="1017"/>
    <d v="2026-01-16T00:00:00"/>
    <x v="6"/>
    <x v="1"/>
    <x v="0"/>
    <x v="0"/>
    <n v="4"/>
    <n v="20"/>
    <n v="0"/>
    <n v="80"/>
  </r>
  <r>
    <n v="1018"/>
    <d v="2026-06-11T00:00:00"/>
    <x v="13"/>
    <x v="2"/>
    <x v="2"/>
    <x v="3"/>
    <n v="10"/>
    <n v="20"/>
    <n v="0"/>
    <n v="200"/>
  </r>
  <r>
    <n v="1019"/>
    <d v="2026-01-09T00:00:00"/>
    <x v="6"/>
    <x v="2"/>
    <x v="1"/>
    <x v="1"/>
    <n v="10"/>
    <n v="20"/>
    <n v="10"/>
    <n v="180"/>
  </r>
  <r>
    <n v="1020"/>
    <d v="2026-02-24T00:00:00"/>
    <x v="14"/>
    <x v="2"/>
    <x v="0"/>
    <x v="0"/>
    <n v="7"/>
    <n v="50"/>
    <n v="0"/>
    <n v="350"/>
  </r>
  <r>
    <n v="1021"/>
    <d v="2026-01-23T00:00:00"/>
    <x v="13"/>
    <x v="0"/>
    <x v="0"/>
    <x v="0"/>
    <n v="10"/>
    <n v="20"/>
    <n v="0"/>
    <n v="200"/>
  </r>
  <r>
    <n v="1022"/>
    <d v="2026-04-18T00:00:00"/>
    <x v="15"/>
    <x v="3"/>
    <x v="0"/>
    <x v="0"/>
    <n v="4"/>
    <n v="10"/>
    <n v="10"/>
    <n v="36"/>
  </r>
  <r>
    <n v="1023"/>
    <d v="2026-03-08T00:00:00"/>
    <x v="16"/>
    <x v="2"/>
    <x v="2"/>
    <x v="3"/>
    <n v="1"/>
    <n v="5"/>
    <n v="0"/>
    <n v="5"/>
  </r>
  <r>
    <n v="1024"/>
    <d v="2026-03-19T00:00:00"/>
    <x v="5"/>
    <x v="2"/>
    <x v="0"/>
    <x v="0"/>
    <n v="7"/>
    <n v="50"/>
    <n v="0"/>
    <n v="350"/>
  </r>
  <r>
    <n v="1025"/>
    <d v="2026-05-01T00:00:00"/>
    <x v="17"/>
    <x v="0"/>
    <x v="0"/>
    <x v="4"/>
    <n v="6"/>
    <n v="10"/>
    <n v="0"/>
    <n v="60"/>
  </r>
  <r>
    <n v="1026"/>
    <d v="2026-02-26T00:00:00"/>
    <x v="17"/>
    <x v="1"/>
    <x v="0"/>
    <x v="4"/>
    <n v="9"/>
    <n v="5"/>
    <n v="0"/>
    <n v="45"/>
  </r>
  <r>
    <n v="1027"/>
    <d v="2026-06-10T00:00:00"/>
    <x v="18"/>
    <x v="2"/>
    <x v="0"/>
    <x v="0"/>
    <n v="7"/>
    <n v="5"/>
    <n v="0"/>
    <n v="35"/>
  </r>
  <r>
    <n v="1028"/>
    <d v="2026-05-08T00:00:00"/>
    <x v="19"/>
    <x v="3"/>
    <x v="1"/>
    <x v="1"/>
    <n v="5"/>
    <n v="50"/>
    <n v="10"/>
    <n v="225"/>
  </r>
  <r>
    <n v="1029"/>
    <d v="2026-04-12T00:00:00"/>
    <x v="8"/>
    <x v="2"/>
    <x v="2"/>
    <x v="3"/>
    <n v="4"/>
    <n v="100"/>
    <n v="0"/>
    <n v="400"/>
  </r>
  <r>
    <n v="1030"/>
    <d v="2026-04-23T00:00:00"/>
    <x v="20"/>
    <x v="3"/>
    <x v="0"/>
    <x v="0"/>
    <n v="9"/>
    <n v="20"/>
    <n v="5"/>
    <n v="171"/>
  </r>
  <r>
    <n v="1031"/>
    <d v="2026-03-10T00:00:00"/>
    <x v="11"/>
    <x v="1"/>
    <x v="0"/>
    <x v="0"/>
    <n v="3"/>
    <n v="5"/>
    <n v="10"/>
    <n v="13.5"/>
  </r>
  <r>
    <n v="1032"/>
    <d v="2026-03-13T00:00:00"/>
    <x v="21"/>
    <x v="1"/>
    <x v="0"/>
    <x v="0"/>
    <n v="1"/>
    <n v="50"/>
    <n v="10"/>
    <n v="45"/>
  </r>
  <r>
    <n v="1033"/>
    <d v="2026-02-04T00:00:00"/>
    <x v="1"/>
    <x v="1"/>
    <x v="2"/>
    <x v="3"/>
    <n v="5"/>
    <n v="10"/>
    <n v="10"/>
    <n v="45"/>
  </r>
  <r>
    <n v="1034"/>
    <d v="2026-01-06T00:00:00"/>
    <x v="22"/>
    <x v="0"/>
    <x v="2"/>
    <x v="2"/>
    <n v="10"/>
    <n v="5"/>
    <n v="0"/>
    <n v="50"/>
  </r>
  <r>
    <n v="1035"/>
    <d v="2026-06-28T00:00:00"/>
    <x v="23"/>
    <x v="2"/>
    <x v="0"/>
    <x v="4"/>
    <n v="2"/>
    <n v="10"/>
    <n v="0"/>
    <n v="20"/>
  </r>
  <r>
    <n v="1036"/>
    <d v="2026-05-19T00:00:00"/>
    <x v="22"/>
    <x v="2"/>
    <x v="1"/>
    <x v="1"/>
    <n v="4"/>
    <n v="10"/>
    <n v="0"/>
    <n v="40"/>
  </r>
  <r>
    <n v="1037"/>
    <d v="2026-02-27T00:00:00"/>
    <x v="7"/>
    <x v="2"/>
    <x v="2"/>
    <x v="2"/>
    <n v="4"/>
    <n v="10"/>
    <n v="0"/>
    <n v="40"/>
  </r>
  <r>
    <n v="1038"/>
    <d v="2026-04-26T00:00:00"/>
    <x v="21"/>
    <x v="2"/>
    <x v="2"/>
    <x v="2"/>
    <n v="10"/>
    <n v="50"/>
    <n v="5"/>
    <n v="475"/>
  </r>
  <r>
    <n v="1039"/>
    <d v="2026-05-04T00:00:00"/>
    <x v="24"/>
    <x v="2"/>
    <x v="1"/>
    <x v="1"/>
    <n v="6"/>
    <n v="10"/>
    <n v="0"/>
    <n v="60"/>
  </r>
  <r>
    <n v="1040"/>
    <d v="2026-01-17T00:00:00"/>
    <x v="25"/>
    <x v="2"/>
    <x v="0"/>
    <x v="4"/>
    <n v="10"/>
    <n v="50"/>
    <n v="0"/>
    <n v="500"/>
  </r>
  <r>
    <n v="1041"/>
    <d v="2026-04-23T00:00:00"/>
    <x v="26"/>
    <x v="3"/>
    <x v="0"/>
    <x v="4"/>
    <n v="10"/>
    <n v="50"/>
    <n v="0"/>
    <n v="500"/>
  </r>
  <r>
    <n v="1042"/>
    <d v="2026-02-26T00:00:00"/>
    <x v="27"/>
    <x v="1"/>
    <x v="0"/>
    <x v="0"/>
    <n v="1"/>
    <n v="5"/>
    <n v="10"/>
    <n v="4.5"/>
  </r>
  <r>
    <n v="1043"/>
    <d v="2026-02-19T00:00:00"/>
    <x v="12"/>
    <x v="0"/>
    <x v="0"/>
    <x v="4"/>
    <n v="3"/>
    <n v="10"/>
    <n v="5"/>
    <n v="28.5"/>
  </r>
  <r>
    <n v="1044"/>
    <d v="2026-04-06T00:00:00"/>
    <x v="11"/>
    <x v="2"/>
    <x v="2"/>
    <x v="3"/>
    <n v="7"/>
    <n v="50"/>
    <n v="0"/>
    <n v="350"/>
  </r>
  <r>
    <n v="1045"/>
    <d v="2026-06-19T00:00:00"/>
    <x v="2"/>
    <x v="2"/>
    <x v="1"/>
    <x v="1"/>
    <n v="5"/>
    <n v="100"/>
    <n v="5"/>
    <n v="475"/>
  </r>
  <r>
    <n v="1046"/>
    <d v="2026-06-04T00:00:00"/>
    <x v="28"/>
    <x v="3"/>
    <x v="1"/>
    <x v="1"/>
    <n v="3"/>
    <n v="10"/>
    <n v="0"/>
    <n v="30"/>
  </r>
  <r>
    <n v="1047"/>
    <d v="2026-02-09T00:00:00"/>
    <x v="23"/>
    <x v="1"/>
    <x v="2"/>
    <x v="3"/>
    <n v="5"/>
    <n v="20"/>
    <n v="10"/>
    <n v="90"/>
  </r>
  <r>
    <n v="1048"/>
    <d v="2026-04-27T00:00:00"/>
    <x v="29"/>
    <x v="1"/>
    <x v="1"/>
    <x v="1"/>
    <n v="4"/>
    <n v="50"/>
    <n v="5"/>
    <n v="190"/>
  </r>
  <r>
    <n v="1049"/>
    <d v="2026-04-02T00:00:00"/>
    <x v="30"/>
    <x v="2"/>
    <x v="1"/>
    <x v="1"/>
    <n v="3"/>
    <n v="20"/>
    <n v="0"/>
    <n v="60"/>
  </r>
  <r>
    <n v="1050"/>
    <d v="2026-06-25T00:00:00"/>
    <x v="9"/>
    <x v="3"/>
    <x v="1"/>
    <x v="1"/>
    <n v="9"/>
    <n v="10"/>
    <n v="0"/>
    <n v="90"/>
  </r>
  <r>
    <n v="1051"/>
    <d v="2026-02-04T00:00:00"/>
    <x v="23"/>
    <x v="2"/>
    <x v="2"/>
    <x v="2"/>
    <n v="8"/>
    <n v="50"/>
    <n v="0"/>
    <n v="400"/>
  </r>
  <r>
    <n v="1052"/>
    <d v="2026-02-21T00:00:00"/>
    <x v="5"/>
    <x v="1"/>
    <x v="0"/>
    <x v="4"/>
    <n v="3"/>
    <n v="20"/>
    <n v="0"/>
    <n v="60"/>
  </r>
  <r>
    <n v="1053"/>
    <d v="2026-04-13T00:00:00"/>
    <x v="20"/>
    <x v="3"/>
    <x v="2"/>
    <x v="3"/>
    <n v="1"/>
    <n v="50"/>
    <n v="10"/>
    <n v="45"/>
  </r>
  <r>
    <n v="1054"/>
    <d v="2026-05-19T00:00:00"/>
    <x v="10"/>
    <x v="3"/>
    <x v="2"/>
    <x v="3"/>
    <n v="6"/>
    <n v="20"/>
    <n v="10"/>
    <n v="108"/>
  </r>
  <r>
    <n v="1055"/>
    <d v="2026-02-13T00:00:00"/>
    <x v="21"/>
    <x v="1"/>
    <x v="0"/>
    <x v="0"/>
    <n v="1"/>
    <n v="10"/>
    <n v="5"/>
    <n v="9.5"/>
  </r>
  <r>
    <n v="1056"/>
    <d v="2026-06-04T00:00:00"/>
    <x v="26"/>
    <x v="2"/>
    <x v="2"/>
    <x v="2"/>
    <n v="9"/>
    <n v="100"/>
    <n v="0"/>
    <n v="900"/>
  </r>
  <r>
    <n v="1057"/>
    <d v="2026-02-15T00:00:00"/>
    <x v="18"/>
    <x v="3"/>
    <x v="0"/>
    <x v="4"/>
    <n v="2"/>
    <n v="50"/>
    <n v="0"/>
    <n v="100"/>
  </r>
  <r>
    <n v="1058"/>
    <d v="2026-02-18T00:00:00"/>
    <x v="31"/>
    <x v="3"/>
    <x v="2"/>
    <x v="3"/>
    <n v="1"/>
    <n v="20"/>
    <n v="10"/>
    <n v="18"/>
  </r>
  <r>
    <n v="1059"/>
    <d v="2026-01-18T00:00:00"/>
    <x v="32"/>
    <x v="1"/>
    <x v="0"/>
    <x v="4"/>
    <n v="2"/>
    <n v="50"/>
    <n v="0"/>
    <n v="100"/>
  </r>
  <r>
    <n v="1060"/>
    <d v="2026-06-27T00:00:00"/>
    <x v="5"/>
    <x v="2"/>
    <x v="0"/>
    <x v="4"/>
    <n v="4"/>
    <n v="5"/>
    <n v="10"/>
    <n v="18"/>
  </r>
  <r>
    <n v="1061"/>
    <d v="2026-04-04T00:00:00"/>
    <x v="4"/>
    <x v="1"/>
    <x v="0"/>
    <x v="4"/>
    <n v="2"/>
    <n v="5"/>
    <n v="0"/>
    <n v="10"/>
  </r>
  <r>
    <n v="1062"/>
    <d v="2026-01-10T00:00:00"/>
    <x v="33"/>
    <x v="1"/>
    <x v="1"/>
    <x v="1"/>
    <n v="3"/>
    <n v="20"/>
    <n v="0"/>
    <n v="60"/>
  </r>
  <r>
    <n v="1063"/>
    <d v="2026-02-25T00:00:00"/>
    <x v="11"/>
    <x v="3"/>
    <x v="0"/>
    <x v="4"/>
    <n v="9"/>
    <n v="50"/>
    <n v="5"/>
    <n v="427.5"/>
  </r>
  <r>
    <n v="1064"/>
    <d v="2026-02-15T00:00:00"/>
    <x v="34"/>
    <x v="2"/>
    <x v="1"/>
    <x v="1"/>
    <n v="4"/>
    <n v="5"/>
    <n v="10"/>
    <n v="18"/>
  </r>
  <r>
    <n v="1065"/>
    <d v="2026-04-24T00:00:00"/>
    <x v="29"/>
    <x v="2"/>
    <x v="0"/>
    <x v="0"/>
    <n v="7"/>
    <n v="10"/>
    <n v="5"/>
    <n v="66.5"/>
  </r>
  <r>
    <n v="1066"/>
    <d v="2026-01-28T00:00:00"/>
    <x v="6"/>
    <x v="1"/>
    <x v="1"/>
    <x v="1"/>
    <n v="1"/>
    <n v="20"/>
    <n v="10"/>
    <n v="18"/>
  </r>
  <r>
    <n v="1067"/>
    <d v="2026-02-25T00:00:00"/>
    <x v="35"/>
    <x v="3"/>
    <x v="2"/>
    <x v="2"/>
    <n v="2"/>
    <n v="10"/>
    <n v="10"/>
    <n v="18"/>
  </r>
  <r>
    <n v="1068"/>
    <d v="2026-02-27T00:00:00"/>
    <x v="1"/>
    <x v="3"/>
    <x v="0"/>
    <x v="4"/>
    <n v="3"/>
    <n v="10"/>
    <n v="0"/>
    <n v="30"/>
  </r>
  <r>
    <n v="1069"/>
    <d v="2026-01-04T00:00:00"/>
    <x v="8"/>
    <x v="2"/>
    <x v="2"/>
    <x v="3"/>
    <n v="2"/>
    <n v="5"/>
    <n v="5"/>
    <n v="9.5"/>
  </r>
  <r>
    <n v="1070"/>
    <d v="2026-05-20T00:00:00"/>
    <x v="24"/>
    <x v="0"/>
    <x v="0"/>
    <x v="0"/>
    <n v="4"/>
    <n v="100"/>
    <n v="5"/>
    <n v="380"/>
  </r>
  <r>
    <n v="1071"/>
    <d v="2026-03-19T00:00:00"/>
    <x v="1"/>
    <x v="0"/>
    <x v="2"/>
    <x v="3"/>
    <n v="1"/>
    <n v="20"/>
    <n v="0"/>
    <n v="20"/>
  </r>
  <r>
    <n v="1072"/>
    <d v="2026-01-27T00:00:00"/>
    <x v="27"/>
    <x v="0"/>
    <x v="2"/>
    <x v="3"/>
    <n v="4"/>
    <n v="10"/>
    <n v="0"/>
    <n v="40"/>
  </r>
  <r>
    <n v="1073"/>
    <d v="2026-03-08T00:00:00"/>
    <x v="0"/>
    <x v="0"/>
    <x v="0"/>
    <x v="0"/>
    <n v="6"/>
    <n v="100"/>
    <n v="0"/>
    <n v="600"/>
  </r>
  <r>
    <n v="1074"/>
    <d v="2026-01-11T00:00:00"/>
    <x v="30"/>
    <x v="2"/>
    <x v="1"/>
    <x v="1"/>
    <n v="1"/>
    <n v="10"/>
    <n v="0"/>
    <n v="10"/>
  </r>
  <r>
    <n v="1075"/>
    <d v="2026-05-20T00:00:00"/>
    <x v="36"/>
    <x v="1"/>
    <x v="0"/>
    <x v="4"/>
    <n v="9"/>
    <n v="100"/>
    <n v="10"/>
    <n v="810"/>
  </r>
  <r>
    <n v="1076"/>
    <d v="2026-02-17T00:00:00"/>
    <x v="21"/>
    <x v="1"/>
    <x v="0"/>
    <x v="0"/>
    <n v="4"/>
    <n v="10"/>
    <n v="0"/>
    <n v="40"/>
  </r>
  <r>
    <n v="1077"/>
    <d v="2026-05-16T00:00:00"/>
    <x v="18"/>
    <x v="1"/>
    <x v="1"/>
    <x v="1"/>
    <n v="4"/>
    <n v="100"/>
    <n v="0"/>
    <n v="400"/>
  </r>
  <r>
    <n v="1078"/>
    <d v="2026-03-14T00:00:00"/>
    <x v="37"/>
    <x v="1"/>
    <x v="1"/>
    <x v="1"/>
    <n v="2"/>
    <n v="50"/>
    <n v="5"/>
    <n v="95"/>
  </r>
  <r>
    <n v="1079"/>
    <d v="2026-05-09T00:00:00"/>
    <x v="35"/>
    <x v="1"/>
    <x v="2"/>
    <x v="3"/>
    <n v="10"/>
    <n v="100"/>
    <n v="5"/>
    <n v="950"/>
  </r>
  <r>
    <n v="1080"/>
    <d v="2026-02-03T00:00:00"/>
    <x v="32"/>
    <x v="2"/>
    <x v="1"/>
    <x v="1"/>
    <n v="9"/>
    <n v="100"/>
    <n v="10"/>
    <n v="810"/>
  </r>
  <r>
    <n v="1081"/>
    <d v="2026-05-07T00:00:00"/>
    <x v="4"/>
    <x v="2"/>
    <x v="0"/>
    <x v="4"/>
    <n v="9"/>
    <n v="20"/>
    <n v="10"/>
    <n v="162"/>
  </r>
  <r>
    <n v="1082"/>
    <d v="2026-03-09T00:00:00"/>
    <x v="37"/>
    <x v="0"/>
    <x v="0"/>
    <x v="4"/>
    <n v="1"/>
    <n v="5"/>
    <n v="5"/>
    <n v="4.75"/>
  </r>
  <r>
    <n v="1083"/>
    <d v="2026-05-21T00:00:00"/>
    <x v="4"/>
    <x v="2"/>
    <x v="2"/>
    <x v="3"/>
    <n v="3"/>
    <n v="5"/>
    <n v="10"/>
    <n v="13.5"/>
  </r>
  <r>
    <n v="1084"/>
    <d v="2026-02-13T00:00:00"/>
    <x v="37"/>
    <x v="0"/>
    <x v="0"/>
    <x v="4"/>
    <n v="4"/>
    <n v="5"/>
    <n v="5"/>
    <n v="19"/>
  </r>
  <r>
    <n v="1085"/>
    <d v="2026-03-27T00:00:00"/>
    <x v="35"/>
    <x v="3"/>
    <x v="1"/>
    <x v="1"/>
    <n v="3"/>
    <n v="20"/>
    <n v="0"/>
    <n v="60"/>
  </r>
  <r>
    <n v="1086"/>
    <d v="2026-03-26T00:00:00"/>
    <x v="10"/>
    <x v="3"/>
    <x v="0"/>
    <x v="0"/>
    <n v="9"/>
    <n v="20"/>
    <n v="0"/>
    <n v="180"/>
  </r>
  <r>
    <n v="1087"/>
    <d v="2026-05-03T00:00:00"/>
    <x v="5"/>
    <x v="3"/>
    <x v="0"/>
    <x v="0"/>
    <n v="5"/>
    <n v="5"/>
    <n v="5"/>
    <n v="23.75"/>
  </r>
  <r>
    <n v="1088"/>
    <d v="2026-02-20T00:00:00"/>
    <x v="1"/>
    <x v="3"/>
    <x v="0"/>
    <x v="4"/>
    <n v="4"/>
    <n v="5"/>
    <n v="10"/>
    <n v="18"/>
  </r>
  <r>
    <n v="1089"/>
    <d v="2026-02-15T00:00:00"/>
    <x v="30"/>
    <x v="2"/>
    <x v="1"/>
    <x v="1"/>
    <n v="2"/>
    <n v="50"/>
    <n v="10"/>
    <n v="90"/>
  </r>
  <r>
    <n v="1090"/>
    <d v="2026-03-28T00:00:00"/>
    <x v="10"/>
    <x v="3"/>
    <x v="2"/>
    <x v="2"/>
    <n v="8"/>
    <n v="100"/>
    <n v="10"/>
    <n v="720"/>
  </r>
  <r>
    <n v="1091"/>
    <d v="2026-06-08T00:00:00"/>
    <x v="35"/>
    <x v="0"/>
    <x v="1"/>
    <x v="1"/>
    <n v="9"/>
    <n v="20"/>
    <n v="10"/>
    <n v="162"/>
  </r>
  <r>
    <n v="1092"/>
    <d v="2026-05-03T00:00:00"/>
    <x v="10"/>
    <x v="1"/>
    <x v="2"/>
    <x v="3"/>
    <n v="2"/>
    <n v="5"/>
    <n v="10"/>
    <n v="9"/>
  </r>
  <r>
    <n v="1093"/>
    <d v="2026-06-16T00:00:00"/>
    <x v="0"/>
    <x v="3"/>
    <x v="2"/>
    <x v="2"/>
    <n v="7"/>
    <n v="20"/>
    <n v="0"/>
    <n v="140"/>
  </r>
  <r>
    <n v="1094"/>
    <d v="2026-05-21T00:00:00"/>
    <x v="5"/>
    <x v="0"/>
    <x v="0"/>
    <x v="4"/>
    <n v="1"/>
    <n v="10"/>
    <n v="5"/>
    <n v="9.5"/>
  </r>
  <r>
    <n v="1095"/>
    <d v="2026-03-26T00:00:00"/>
    <x v="22"/>
    <x v="2"/>
    <x v="2"/>
    <x v="3"/>
    <n v="7"/>
    <n v="5"/>
    <n v="5"/>
    <n v="33.25"/>
  </r>
  <r>
    <n v="1096"/>
    <d v="2026-04-24T00:00:00"/>
    <x v="31"/>
    <x v="3"/>
    <x v="0"/>
    <x v="4"/>
    <n v="8"/>
    <n v="20"/>
    <n v="0"/>
    <n v="160"/>
  </r>
  <r>
    <n v="1097"/>
    <d v="2026-04-11T00:00:00"/>
    <x v="14"/>
    <x v="1"/>
    <x v="2"/>
    <x v="2"/>
    <n v="2"/>
    <n v="20"/>
    <n v="0"/>
    <n v="40"/>
  </r>
  <r>
    <n v="1098"/>
    <d v="2026-03-12T00:00:00"/>
    <x v="38"/>
    <x v="2"/>
    <x v="0"/>
    <x v="4"/>
    <n v="2"/>
    <n v="100"/>
    <n v="0"/>
    <n v="200"/>
  </r>
  <r>
    <n v="1099"/>
    <d v="2026-05-07T00:00:00"/>
    <x v="11"/>
    <x v="1"/>
    <x v="0"/>
    <x v="0"/>
    <n v="10"/>
    <n v="100"/>
    <n v="0"/>
    <n v="1000"/>
  </r>
  <r>
    <n v="1100"/>
    <d v="2026-05-28T00:00:00"/>
    <x v="18"/>
    <x v="0"/>
    <x v="0"/>
    <x v="0"/>
    <n v="4"/>
    <n v="100"/>
    <n v="10"/>
    <n v="360"/>
  </r>
  <r>
    <n v="1101"/>
    <d v="2026-05-16T00:00:00"/>
    <x v="20"/>
    <x v="3"/>
    <x v="1"/>
    <x v="1"/>
    <n v="9"/>
    <n v="20"/>
    <n v="0"/>
    <n v="180"/>
  </r>
  <r>
    <n v="1102"/>
    <d v="2026-03-22T00:00:00"/>
    <x v="21"/>
    <x v="0"/>
    <x v="0"/>
    <x v="0"/>
    <n v="10"/>
    <n v="10"/>
    <n v="0"/>
    <n v="100"/>
  </r>
  <r>
    <n v="1103"/>
    <d v="2026-01-25T00:00:00"/>
    <x v="23"/>
    <x v="3"/>
    <x v="2"/>
    <x v="2"/>
    <n v="1"/>
    <n v="5"/>
    <n v="5"/>
    <n v="4.75"/>
  </r>
  <r>
    <n v="1104"/>
    <d v="2026-06-23T00:00:00"/>
    <x v="9"/>
    <x v="2"/>
    <x v="0"/>
    <x v="4"/>
    <n v="8"/>
    <n v="50"/>
    <n v="10"/>
    <n v="360"/>
  </r>
  <r>
    <n v="1105"/>
    <d v="2026-06-14T00:00:00"/>
    <x v="27"/>
    <x v="3"/>
    <x v="1"/>
    <x v="1"/>
    <n v="9"/>
    <n v="10"/>
    <n v="0"/>
    <n v="90"/>
  </r>
  <r>
    <n v="1106"/>
    <d v="2026-02-08T00:00:00"/>
    <x v="12"/>
    <x v="1"/>
    <x v="0"/>
    <x v="0"/>
    <n v="6"/>
    <n v="10"/>
    <n v="10"/>
    <n v="54"/>
  </r>
  <r>
    <n v="1107"/>
    <d v="2026-06-24T00:00:00"/>
    <x v="20"/>
    <x v="3"/>
    <x v="1"/>
    <x v="1"/>
    <n v="6"/>
    <n v="10"/>
    <n v="0"/>
    <n v="60"/>
  </r>
  <r>
    <n v="1108"/>
    <d v="2026-03-21T00:00:00"/>
    <x v="0"/>
    <x v="3"/>
    <x v="0"/>
    <x v="4"/>
    <n v="8"/>
    <n v="20"/>
    <n v="5"/>
    <n v="152"/>
  </r>
  <r>
    <n v="1109"/>
    <d v="2026-03-11T00:00:00"/>
    <x v="33"/>
    <x v="2"/>
    <x v="2"/>
    <x v="2"/>
    <n v="3"/>
    <n v="5"/>
    <n v="0"/>
    <n v="15"/>
  </r>
  <r>
    <n v="1110"/>
    <d v="2026-03-06T00:00:00"/>
    <x v="7"/>
    <x v="1"/>
    <x v="2"/>
    <x v="2"/>
    <n v="9"/>
    <n v="5"/>
    <n v="0"/>
    <n v="45"/>
  </r>
  <r>
    <n v="1111"/>
    <d v="2026-03-15T00:00:00"/>
    <x v="1"/>
    <x v="0"/>
    <x v="2"/>
    <x v="2"/>
    <n v="2"/>
    <n v="5"/>
    <n v="0"/>
    <n v="10"/>
  </r>
  <r>
    <n v="1112"/>
    <d v="2026-06-09T00:00:00"/>
    <x v="29"/>
    <x v="0"/>
    <x v="2"/>
    <x v="2"/>
    <n v="8"/>
    <n v="50"/>
    <n v="0"/>
    <n v="400"/>
  </r>
  <r>
    <n v="1113"/>
    <d v="2026-04-13T00:00:00"/>
    <x v="39"/>
    <x v="2"/>
    <x v="0"/>
    <x v="4"/>
    <n v="3"/>
    <n v="5"/>
    <n v="0"/>
    <n v="15"/>
  </r>
  <r>
    <n v="1114"/>
    <d v="2026-03-01T00:00:00"/>
    <x v="28"/>
    <x v="0"/>
    <x v="0"/>
    <x v="4"/>
    <n v="9"/>
    <n v="10"/>
    <n v="10"/>
    <n v="81"/>
  </r>
  <r>
    <n v="1115"/>
    <d v="2026-04-04T00:00:00"/>
    <x v="30"/>
    <x v="2"/>
    <x v="2"/>
    <x v="3"/>
    <n v="4"/>
    <n v="100"/>
    <n v="0"/>
    <n v="400"/>
  </r>
  <r>
    <n v="1116"/>
    <d v="2026-04-02T00:00:00"/>
    <x v="5"/>
    <x v="2"/>
    <x v="2"/>
    <x v="3"/>
    <n v="8"/>
    <n v="10"/>
    <n v="10"/>
    <n v="72"/>
  </r>
  <r>
    <n v="1117"/>
    <d v="2026-04-11T00:00:00"/>
    <x v="18"/>
    <x v="3"/>
    <x v="2"/>
    <x v="2"/>
    <n v="1"/>
    <n v="20"/>
    <n v="0"/>
    <n v="20"/>
  </r>
  <r>
    <n v="1118"/>
    <d v="2026-05-27T00:00:00"/>
    <x v="33"/>
    <x v="1"/>
    <x v="1"/>
    <x v="1"/>
    <n v="1"/>
    <n v="20"/>
    <n v="5"/>
    <n v="19"/>
  </r>
  <r>
    <n v="1119"/>
    <d v="2026-02-03T00:00:00"/>
    <x v="19"/>
    <x v="3"/>
    <x v="2"/>
    <x v="3"/>
    <n v="10"/>
    <n v="20"/>
    <n v="0"/>
    <n v="200"/>
  </r>
  <r>
    <n v="1120"/>
    <d v="2026-06-13T00:00:00"/>
    <x v="10"/>
    <x v="3"/>
    <x v="0"/>
    <x v="0"/>
    <n v="3"/>
    <n v="5"/>
    <n v="0"/>
    <n v="15"/>
  </r>
  <r>
    <n v="1121"/>
    <d v="2026-02-09T00:00:00"/>
    <x v="6"/>
    <x v="3"/>
    <x v="0"/>
    <x v="0"/>
    <n v="4"/>
    <n v="5"/>
    <n v="0"/>
    <n v="20"/>
  </r>
  <r>
    <n v="1122"/>
    <d v="2026-06-22T00:00:00"/>
    <x v="35"/>
    <x v="0"/>
    <x v="2"/>
    <x v="3"/>
    <n v="5"/>
    <n v="10"/>
    <n v="10"/>
    <n v="45"/>
  </r>
  <r>
    <n v="1123"/>
    <d v="2026-01-17T00:00:00"/>
    <x v="29"/>
    <x v="2"/>
    <x v="1"/>
    <x v="1"/>
    <n v="9"/>
    <n v="20"/>
    <n v="0"/>
    <n v="180"/>
  </r>
  <r>
    <n v="1124"/>
    <d v="2026-05-14T00:00:00"/>
    <x v="26"/>
    <x v="1"/>
    <x v="2"/>
    <x v="2"/>
    <n v="9"/>
    <n v="20"/>
    <n v="0"/>
    <n v="180"/>
  </r>
  <r>
    <n v="1125"/>
    <d v="2026-06-25T00:00:00"/>
    <x v="14"/>
    <x v="1"/>
    <x v="0"/>
    <x v="0"/>
    <n v="1"/>
    <n v="100"/>
    <n v="5"/>
    <n v="95"/>
  </r>
  <r>
    <n v="1126"/>
    <d v="2026-06-26T00:00:00"/>
    <x v="34"/>
    <x v="2"/>
    <x v="2"/>
    <x v="2"/>
    <n v="7"/>
    <n v="50"/>
    <n v="0"/>
    <n v="350"/>
  </r>
  <r>
    <n v="1127"/>
    <d v="2026-01-18T00:00:00"/>
    <x v="5"/>
    <x v="0"/>
    <x v="0"/>
    <x v="0"/>
    <n v="1"/>
    <n v="20"/>
    <n v="5"/>
    <n v="19"/>
  </r>
  <r>
    <n v="1128"/>
    <d v="2026-04-17T00:00:00"/>
    <x v="21"/>
    <x v="2"/>
    <x v="2"/>
    <x v="2"/>
    <n v="2"/>
    <n v="5"/>
    <n v="0"/>
    <n v="10"/>
  </r>
  <r>
    <n v="1129"/>
    <d v="2026-03-06T00:00:00"/>
    <x v="34"/>
    <x v="1"/>
    <x v="2"/>
    <x v="2"/>
    <n v="3"/>
    <n v="5"/>
    <n v="0"/>
    <n v="15"/>
  </r>
  <r>
    <n v="1130"/>
    <d v="2026-02-18T00:00:00"/>
    <x v="16"/>
    <x v="2"/>
    <x v="2"/>
    <x v="2"/>
    <n v="1"/>
    <n v="50"/>
    <n v="0"/>
    <n v="50"/>
  </r>
  <r>
    <n v="1131"/>
    <d v="2026-03-13T00:00:00"/>
    <x v="35"/>
    <x v="0"/>
    <x v="0"/>
    <x v="0"/>
    <n v="7"/>
    <n v="20"/>
    <n v="0"/>
    <n v="140"/>
  </r>
  <r>
    <n v="1132"/>
    <d v="2026-06-17T00:00:00"/>
    <x v="0"/>
    <x v="2"/>
    <x v="2"/>
    <x v="3"/>
    <n v="5"/>
    <n v="100"/>
    <n v="10"/>
    <n v="450"/>
  </r>
  <r>
    <n v="1133"/>
    <d v="2026-04-14T00:00:00"/>
    <x v="17"/>
    <x v="0"/>
    <x v="2"/>
    <x v="3"/>
    <n v="7"/>
    <n v="20"/>
    <n v="5"/>
    <n v="133"/>
  </r>
  <r>
    <n v="1134"/>
    <d v="2026-02-15T00:00:00"/>
    <x v="1"/>
    <x v="3"/>
    <x v="0"/>
    <x v="0"/>
    <n v="7"/>
    <n v="20"/>
    <n v="10"/>
    <n v="126"/>
  </r>
  <r>
    <n v="1135"/>
    <d v="2026-02-16T00:00:00"/>
    <x v="5"/>
    <x v="1"/>
    <x v="2"/>
    <x v="3"/>
    <n v="10"/>
    <n v="5"/>
    <n v="5"/>
    <n v="47.5"/>
  </r>
  <r>
    <n v="1136"/>
    <d v="2026-06-09T00:00:00"/>
    <x v="29"/>
    <x v="0"/>
    <x v="2"/>
    <x v="3"/>
    <n v="9"/>
    <n v="10"/>
    <n v="10"/>
    <n v="81"/>
  </r>
  <r>
    <n v="1137"/>
    <d v="2026-02-04T00:00:00"/>
    <x v="16"/>
    <x v="2"/>
    <x v="0"/>
    <x v="4"/>
    <n v="3"/>
    <n v="5"/>
    <n v="10"/>
    <n v="13.5"/>
  </r>
  <r>
    <n v="1138"/>
    <d v="2026-06-17T00:00:00"/>
    <x v="24"/>
    <x v="3"/>
    <x v="1"/>
    <x v="1"/>
    <n v="7"/>
    <n v="10"/>
    <n v="10"/>
    <n v="63"/>
  </r>
  <r>
    <n v="1139"/>
    <d v="2026-05-10T00:00:00"/>
    <x v="30"/>
    <x v="2"/>
    <x v="0"/>
    <x v="4"/>
    <n v="6"/>
    <n v="20"/>
    <n v="5"/>
    <n v="114"/>
  </r>
  <r>
    <n v="1140"/>
    <d v="2026-03-11T00:00:00"/>
    <x v="0"/>
    <x v="1"/>
    <x v="2"/>
    <x v="3"/>
    <n v="1"/>
    <n v="50"/>
    <n v="0"/>
    <n v="50"/>
  </r>
  <r>
    <n v="1141"/>
    <d v="2026-04-08T00:00:00"/>
    <x v="2"/>
    <x v="0"/>
    <x v="2"/>
    <x v="3"/>
    <n v="9"/>
    <n v="100"/>
    <n v="10"/>
    <n v="810"/>
  </r>
  <r>
    <n v="1142"/>
    <d v="2026-03-05T00:00:00"/>
    <x v="15"/>
    <x v="2"/>
    <x v="0"/>
    <x v="0"/>
    <n v="10"/>
    <n v="50"/>
    <n v="0"/>
    <n v="500"/>
  </r>
  <r>
    <n v="1143"/>
    <d v="2026-06-24T00:00:00"/>
    <x v="0"/>
    <x v="3"/>
    <x v="1"/>
    <x v="1"/>
    <n v="9"/>
    <n v="10"/>
    <n v="10"/>
    <n v="81"/>
  </r>
  <r>
    <n v="1144"/>
    <d v="2026-05-12T00:00:00"/>
    <x v="39"/>
    <x v="3"/>
    <x v="0"/>
    <x v="0"/>
    <n v="8"/>
    <n v="50"/>
    <n v="0"/>
    <n v="400"/>
  </r>
  <r>
    <n v="1145"/>
    <d v="2026-05-01T00:00:00"/>
    <x v="24"/>
    <x v="2"/>
    <x v="0"/>
    <x v="0"/>
    <n v="3"/>
    <n v="5"/>
    <n v="0"/>
    <n v="15"/>
  </r>
  <r>
    <n v="1146"/>
    <d v="2026-01-24T00:00:00"/>
    <x v="5"/>
    <x v="0"/>
    <x v="0"/>
    <x v="4"/>
    <n v="5"/>
    <n v="10"/>
    <n v="10"/>
    <n v="45"/>
  </r>
  <r>
    <n v="1147"/>
    <d v="2026-05-18T00:00:00"/>
    <x v="16"/>
    <x v="0"/>
    <x v="2"/>
    <x v="2"/>
    <n v="3"/>
    <n v="20"/>
    <n v="5"/>
    <n v="57"/>
  </r>
  <r>
    <n v="1148"/>
    <d v="2026-03-12T00:00:00"/>
    <x v="4"/>
    <x v="3"/>
    <x v="0"/>
    <x v="0"/>
    <n v="4"/>
    <n v="100"/>
    <n v="0"/>
    <n v="400"/>
  </r>
  <r>
    <n v="1149"/>
    <d v="2026-02-16T00:00:00"/>
    <x v="5"/>
    <x v="3"/>
    <x v="2"/>
    <x v="3"/>
    <n v="1"/>
    <n v="100"/>
    <n v="10"/>
    <n v="90"/>
  </r>
  <r>
    <n v="1150"/>
    <d v="2026-06-24T00:00:00"/>
    <x v="9"/>
    <x v="2"/>
    <x v="0"/>
    <x v="4"/>
    <n v="8"/>
    <n v="100"/>
    <n v="0"/>
    <n v="800"/>
  </r>
  <r>
    <n v="1151"/>
    <d v="2026-01-17T00:00:00"/>
    <x v="36"/>
    <x v="1"/>
    <x v="1"/>
    <x v="1"/>
    <n v="3"/>
    <n v="5"/>
    <n v="10"/>
    <n v="13.5"/>
  </r>
  <r>
    <n v="1152"/>
    <d v="2026-06-08T00:00:00"/>
    <x v="1"/>
    <x v="3"/>
    <x v="2"/>
    <x v="2"/>
    <n v="6"/>
    <n v="100"/>
    <n v="5"/>
    <n v="570"/>
  </r>
  <r>
    <n v="1153"/>
    <d v="2026-04-15T00:00:00"/>
    <x v="1"/>
    <x v="1"/>
    <x v="1"/>
    <x v="1"/>
    <n v="10"/>
    <n v="50"/>
    <n v="10"/>
    <n v="450"/>
  </r>
  <r>
    <n v="1154"/>
    <d v="2026-02-17T00:00:00"/>
    <x v="16"/>
    <x v="2"/>
    <x v="0"/>
    <x v="4"/>
    <n v="7"/>
    <n v="20"/>
    <n v="0"/>
    <n v="140"/>
  </r>
  <r>
    <n v="1155"/>
    <d v="2026-01-16T00:00:00"/>
    <x v="1"/>
    <x v="3"/>
    <x v="0"/>
    <x v="4"/>
    <n v="1"/>
    <n v="20"/>
    <n v="10"/>
    <n v="18"/>
  </r>
  <r>
    <n v="1156"/>
    <d v="2026-05-01T00:00:00"/>
    <x v="12"/>
    <x v="3"/>
    <x v="2"/>
    <x v="2"/>
    <n v="4"/>
    <n v="20"/>
    <n v="10"/>
    <n v="72"/>
  </r>
  <r>
    <n v="1157"/>
    <d v="2026-03-12T00:00:00"/>
    <x v="23"/>
    <x v="2"/>
    <x v="2"/>
    <x v="3"/>
    <n v="3"/>
    <n v="5"/>
    <n v="5"/>
    <n v="14.25"/>
  </r>
  <r>
    <n v="1158"/>
    <d v="2026-01-15T00:00:00"/>
    <x v="10"/>
    <x v="2"/>
    <x v="0"/>
    <x v="0"/>
    <n v="1"/>
    <n v="10"/>
    <n v="10"/>
    <n v="9"/>
  </r>
  <r>
    <n v="1159"/>
    <d v="2026-04-13T00:00:00"/>
    <x v="11"/>
    <x v="2"/>
    <x v="1"/>
    <x v="1"/>
    <n v="1"/>
    <n v="100"/>
    <n v="0"/>
    <n v="100"/>
  </r>
  <r>
    <n v="1160"/>
    <d v="2026-06-08T00:00:00"/>
    <x v="1"/>
    <x v="0"/>
    <x v="0"/>
    <x v="4"/>
    <n v="9"/>
    <n v="100"/>
    <n v="0"/>
    <n v="900"/>
  </r>
  <r>
    <n v="1161"/>
    <d v="2026-01-05T00:00:00"/>
    <x v="8"/>
    <x v="3"/>
    <x v="0"/>
    <x v="4"/>
    <n v="5"/>
    <n v="50"/>
    <n v="10"/>
    <n v="225"/>
  </r>
  <r>
    <n v="1162"/>
    <d v="2026-05-01T00:00:00"/>
    <x v="2"/>
    <x v="0"/>
    <x v="1"/>
    <x v="1"/>
    <n v="1"/>
    <n v="100"/>
    <n v="0"/>
    <n v="100"/>
  </r>
  <r>
    <n v="1163"/>
    <d v="2026-05-13T00:00:00"/>
    <x v="11"/>
    <x v="2"/>
    <x v="0"/>
    <x v="4"/>
    <n v="1"/>
    <n v="100"/>
    <n v="0"/>
    <n v="100"/>
  </r>
  <r>
    <n v="1164"/>
    <d v="2026-01-09T00:00:00"/>
    <x v="31"/>
    <x v="1"/>
    <x v="0"/>
    <x v="4"/>
    <n v="9"/>
    <n v="10"/>
    <n v="0"/>
    <n v="90"/>
  </r>
  <r>
    <n v="1165"/>
    <d v="2026-02-13T00:00:00"/>
    <x v="9"/>
    <x v="3"/>
    <x v="2"/>
    <x v="3"/>
    <n v="10"/>
    <n v="10"/>
    <n v="0"/>
    <n v="100"/>
  </r>
  <r>
    <n v="1166"/>
    <d v="2026-05-11T00:00:00"/>
    <x v="15"/>
    <x v="3"/>
    <x v="0"/>
    <x v="4"/>
    <n v="10"/>
    <n v="5"/>
    <n v="5"/>
    <n v="47.5"/>
  </r>
  <r>
    <n v="1167"/>
    <d v="2026-05-17T00:00:00"/>
    <x v="29"/>
    <x v="3"/>
    <x v="0"/>
    <x v="0"/>
    <n v="1"/>
    <n v="10"/>
    <n v="0"/>
    <n v="10"/>
  </r>
  <r>
    <n v="1168"/>
    <d v="2026-06-21T00:00:00"/>
    <x v="23"/>
    <x v="2"/>
    <x v="0"/>
    <x v="4"/>
    <n v="1"/>
    <n v="5"/>
    <n v="0"/>
    <n v="5"/>
  </r>
  <r>
    <n v="1169"/>
    <d v="2026-02-21T00:00:00"/>
    <x v="28"/>
    <x v="2"/>
    <x v="0"/>
    <x v="0"/>
    <n v="1"/>
    <n v="20"/>
    <n v="5"/>
    <n v="19"/>
  </r>
  <r>
    <n v="1170"/>
    <d v="2026-03-15T00:00:00"/>
    <x v="14"/>
    <x v="0"/>
    <x v="1"/>
    <x v="1"/>
    <n v="2"/>
    <n v="20"/>
    <n v="0"/>
    <n v="40"/>
  </r>
  <r>
    <n v="1171"/>
    <d v="2026-04-13T00:00:00"/>
    <x v="16"/>
    <x v="3"/>
    <x v="0"/>
    <x v="0"/>
    <n v="1"/>
    <n v="10"/>
    <n v="5"/>
    <n v="9.5"/>
  </r>
  <r>
    <n v="1172"/>
    <d v="2026-03-07T00:00:00"/>
    <x v="21"/>
    <x v="1"/>
    <x v="2"/>
    <x v="2"/>
    <n v="3"/>
    <n v="10"/>
    <n v="10"/>
    <n v="27"/>
  </r>
  <r>
    <n v="1173"/>
    <d v="2026-06-28T00:00:00"/>
    <x v="12"/>
    <x v="1"/>
    <x v="0"/>
    <x v="4"/>
    <n v="1"/>
    <n v="50"/>
    <n v="0"/>
    <n v="50"/>
  </r>
  <r>
    <n v="1174"/>
    <d v="2026-02-16T00:00:00"/>
    <x v="30"/>
    <x v="2"/>
    <x v="0"/>
    <x v="4"/>
    <n v="1"/>
    <n v="50"/>
    <n v="10"/>
    <n v="45"/>
  </r>
  <r>
    <n v="1175"/>
    <d v="2026-06-08T00:00:00"/>
    <x v="6"/>
    <x v="2"/>
    <x v="2"/>
    <x v="3"/>
    <n v="4"/>
    <n v="10"/>
    <n v="5"/>
    <n v="38"/>
  </r>
  <r>
    <n v="1176"/>
    <d v="2026-02-16T00:00:00"/>
    <x v="10"/>
    <x v="2"/>
    <x v="0"/>
    <x v="0"/>
    <n v="10"/>
    <n v="5"/>
    <n v="0"/>
    <n v="50"/>
  </r>
  <r>
    <n v="1177"/>
    <d v="2026-01-21T00:00:00"/>
    <x v="25"/>
    <x v="2"/>
    <x v="1"/>
    <x v="1"/>
    <n v="6"/>
    <n v="5"/>
    <n v="0"/>
    <n v="30"/>
  </r>
  <r>
    <n v="1178"/>
    <d v="2026-03-01T00:00:00"/>
    <x v="12"/>
    <x v="1"/>
    <x v="0"/>
    <x v="4"/>
    <n v="6"/>
    <n v="20"/>
    <n v="0"/>
    <n v="120"/>
  </r>
  <r>
    <n v="1179"/>
    <d v="2026-02-11T00:00:00"/>
    <x v="40"/>
    <x v="1"/>
    <x v="0"/>
    <x v="4"/>
    <n v="6"/>
    <n v="50"/>
    <n v="0"/>
    <n v="300"/>
  </r>
  <r>
    <n v="1180"/>
    <d v="2026-05-04T00:00:00"/>
    <x v="27"/>
    <x v="1"/>
    <x v="0"/>
    <x v="4"/>
    <n v="2"/>
    <n v="10"/>
    <n v="0"/>
    <n v="20"/>
  </r>
  <r>
    <n v="1181"/>
    <d v="2026-02-18T00:00:00"/>
    <x v="11"/>
    <x v="1"/>
    <x v="0"/>
    <x v="0"/>
    <n v="10"/>
    <n v="50"/>
    <n v="0"/>
    <n v="500"/>
  </r>
  <r>
    <n v="1182"/>
    <d v="2026-02-09T00:00:00"/>
    <x v="40"/>
    <x v="1"/>
    <x v="1"/>
    <x v="1"/>
    <n v="1"/>
    <n v="10"/>
    <n v="0"/>
    <n v="10"/>
  </r>
  <r>
    <n v="1183"/>
    <d v="2026-03-05T00:00:00"/>
    <x v="27"/>
    <x v="1"/>
    <x v="2"/>
    <x v="3"/>
    <n v="4"/>
    <n v="50"/>
    <n v="0"/>
    <n v="200"/>
  </r>
  <r>
    <n v="1184"/>
    <d v="2026-01-02T00:00:00"/>
    <x v="6"/>
    <x v="0"/>
    <x v="2"/>
    <x v="2"/>
    <n v="3"/>
    <n v="20"/>
    <n v="0"/>
    <n v="60"/>
  </r>
  <r>
    <n v="1185"/>
    <d v="2026-05-20T00:00:00"/>
    <x v="16"/>
    <x v="3"/>
    <x v="2"/>
    <x v="3"/>
    <n v="4"/>
    <n v="5"/>
    <n v="0"/>
    <n v="20"/>
  </r>
  <r>
    <n v="1186"/>
    <d v="2026-05-09T00:00:00"/>
    <x v="21"/>
    <x v="3"/>
    <x v="0"/>
    <x v="0"/>
    <n v="2"/>
    <n v="100"/>
    <n v="0"/>
    <n v="200"/>
  </r>
  <r>
    <n v="1187"/>
    <d v="2026-02-01T00:00:00"/>
    <x v="19"/>
    <x v="1"/>
    <x v="1"/>
    <x v="1"/>
    <n v="3"/>
    <n v="20"/>
    <n v="5"/>
    <n v="57"/>
  </r>
  <r>
    <n v="1188"/>
    <d v="2026-02-11T00:00:00"/>
    <x v="4"/>
    <x v="1"/>
    <x v="0"/>
    <x v="4"/>
    <n v="3"/>
    <n v="5"/>
    <n v="0"/>
    <n v="15"/>
  </r>
  <r>
    <n v="1189"/>
    <d v="2026-02-07T00:00:00"/>
    <x v="7"/>
    <x v="3"/>
    <x v="0"/>
    <x v="0"/>
    <n v="3"/>
    <n v="100"/>
    <n v="0"/>
    <n v="300"/>
  </r>
  <r>
    <n v="1190"/>
    <d v="2026-04-22T00:00:00"/>
    <x v="36"/>
    <x v="2"/>
    <x v="1"/>
    <x v="1"/>
    <n v="9"/>
    <n v="100"/>
    <n v="10"/>
    <n v="810"/>
  </r>
  <r>
    <n v="1191"/>
    <d v="2026-04-09T00:00:00"/>
    <x v="34"/>
    <x v="1"/>
    <x v="2"/>
    <x v="2"/>
    <n v="10"/>
    <n v="20"/>
    <n v="0"/>
    <n v="200"/>
  </r>
  <r>
    <n v="1192"/>
    <d v="2026-05-21T00:00:00"/>
    <x v="40"/>
    <x v="2"/>
    <x v="2"/>
    <x v="3"/>
    <n v="10"/>
    <n v="50"/>
    <n v="5"/>
    <n v="475"/>
  </r>
  <r>
    <n v="1193"/>
    <d v="2026-06-02T00:00:00"/>
    <x v="24"/>
    <x v="2"/>
    <x v="0"/>
    <x v="0"/>
    <n v="2"/>
    <n v="5"/>
    <n v="5"/>
    <n v="9.5"/>
  </r>
  <r>
    <n v="1194"/>
    <d v="2026-03-14T00:00:00"/>
    <x v="25"/>
    <x v="3"/>
    <x v="2"/>
    <x v="3"/>
    <n v="5"/>
    <n v="20"/>
    <n v="10"/>
    <n v="90"/>
  </r>
  <r>
    <n v="1195"/>
    <d v="2026-06-28T00:00:00"/>
    <x v="21"/>
    <x v="2"/>
    <x v="2"/>
    <x v="2"/>
    <n v="2"/>
    <n v="5"/>
    <n v="0"/>
    <n v="10"/>
  </r>
  <r>
    <n v="1196"/>
    <d v="2026-05-18T00:00:00"/>
    <x v="32"/>
    <x v="1"/>
    <x v="0"/>
    <x v="0"/>
    <n v="5"/>
    <n v="50"/>
    <n v="0"/>
    <n v="250"/>
  </r>
  <r>
    <n v="1197"/>
    <d v="2026-04-09T00:00:00"/>
    <x v="1"/>
    <x v="3"/>
    <x v="0"/>
    <x v="0"/>
    <n v="5"/>
    <n v="20"/>
    <n v="0"/>
    <n v="100"/>
  </r>
  <r>
    <n v="1198"/>
    <d v="2026-06-12T00:00:00"/>
    <x v="15"/>
    <x v="2"/>
    <x v="1"/>
    <x v="1"/>
    <n v="2"/>
    <n v="50"/>
    <n v="5"/>
    <n v="95"/>
  </r>
  <r>
    <n v="1199"/>
    <d v="2026-04-12T00:00:00"/>
    <x v="30"/>
    <x v="2"/>
    <x v="1"/>
    <x v="1"/>
    <n v="10"/>
    <n v="10"/>
    <n v="5"/>
    <n v="95"/>
  </r>
  <r>
    <n v="1200"/>
    <d v="2026-02-02T00:00:00"/>
    <x v="21"/>
    <x v="0"/>
    <x v="2"/>
    <x v="2"/>
    <n v="6"/>
    <n v="20"/>
    <n v="10"/>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434AD1-58DD-4843-B666-3CB26176C6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5" firstHeaderRow="1" firstDataRow="1" firstDataCol="1"/>
  <pivotFields count="10">
    <pivotField showAll="0"/>
    <pivotField numFmtId="164" showAll="0"/>
    <pivotField axis="axisRow" showAll="0" sortType="ascending">
      <items count="42">
        <item x="21"/>
        <item x="33"/>
        <item x="23"/>
        <item x="11"/>
        <item x="19"/>
        <item x="13"/>
        <item x="28"/>
        <item x="9"/>
        <item x="27"/>
        <item x="7"/>
        <item x="40"/>
        <item x="10"/>
        <item x="22"/>
        <item x="14"/>
        <item x="36"/>
        <item x="26"/>
        <item x="24"/>
        <item x="2"/>
        <item x="17"/>
        <item x="38"/>
        <item x="34"/>
        <item x="20"/>
        <item x="25"/>
        <item x="15"/>
        <item x="6"/>
        <item x="4"/>
        <item x="5"/>
        <item x="32"/>
        <item x="37"/>
        <item x="0"/>
        <item x="30"/>
        <item x="1"/>
        <item x="18"/>
        <item x="16"/>
        <item x="39"/>
        <item x="35"/>
        <item x="31"/>
        <item x="12"/>
        <item x="29"/>
        <item x="8"/>
        <item x="3"/>
        <item t="default"/>
      </items>
    </pivotField>
    <pivotField showAll="0">
      <items count="5">
        <item x="2"/>
        <item x="1"/>
        <item x="3"/>
        <item x="0"/>
        <item t="default"/>
      </items>
    </pivotField>
    <pivotField showAll="0"/>
    <pivotField showAll="0"/>
    <pivotField showAll="0"/>
    <pivotField numFmtId="43" showAll="0"/>
    <pivotField showAll="0"/>
    <pivotField dataField="1" numFmtId="43" showAll="0"/>
  </pivotFields>
  <rowFields count="1">
    <field x="2"/>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Sales " fld="9" baseField="0" baseItem="0" numFmtId="43"/>
  </dataFields>
  <formats count="5">
    <format dxfId="45">
      <pivotArea dataOnly="0" fieldPosition="0">
        <references count="1">
          <reference field="2" count="0"/>
        </references>
      </pivotArea>
    </format>
    <format dxfId="44">
      <pivotArea field="2" type="button" dataOnly="0" labelOnly="1" outline="0" axis="axisRow" fieldPosition="0"/>
    </format>
    <format dxfId="43">
      <pivotArea dataOnly="0" labelOnly="1" outline="0" axis="axisValues" fieldPosition="0"/>
    </format>
    <format dxfId="42">
      <pivotArea dataOnly="0" grandRow="1" fieldPosition="0"/>
    </format>
    <format dxfId="4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224AB-1EA1-4A4B-8E87-AEE718A5EA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0">
    <pivotField showAll="0"/>
    <pivotField numFmtId="164" showAll="0"/>
    <pivotField showAll="0"/>
    <pivotField axis="axisRow" showAll="0">
      <items count="5">
        <item x="2"/>
        <item x="1"/>
        <item x="3"/>
        <item x="0"/>
        <item t="default"/>
      </items>
    </pivotField>
    <pivotField showAll="0"/>
    <pivotField showAll="0"/>
    <pivotField showAll="0"/>
    <pivotField numFmtId="43" showAll="0"/>
    <pivotField showAll="0"/>
    <pivotField dataField="1" numFmtId="43" showAll="0"/>
  </pivotFields>
  <rowFields count="1">
    <field x="3"/>
  </rowFields>
  <rowItems count="5">
    <i>
      <x/>
    </i>
    <i>
      <x v="1"/>
    </i>
    <i>
      <x v="2"/>
    </i>
    <i>
      <x v="3"/>
    </i>
    <i t="grand">
      <x/>
    </i>
  </rowItems>
  <colItems count="1">
    <i/>
  </colItems>
  <dataFields count="1">
    <dataField name="Sum of  Sales" fld="9" baseField="0" baseItem="0" numFmtId="43"/>
  </dataFields>
  <formats count="10">
    <format dxfId="40">
      <pivotArea dataOnly="0" fieldPosition="0">
        <references count="1">
          <reference field="3" count="0"/>
        </references>
      </pivotArea>
    </format>
    <format dxfId="39">
      <pivotArea collapsedLevelsAreSubtotals="1" fieldPosition="0">
        <references count="1">
          <reference field="3" count="0"/>
        </references>
      </pivotArea>
    </format>
    <format dxfId="38">
      <pivotArea grandRow="1" outline="0" collapsedLevelsAreSubtotals="1" fieldPosition="0"/>
    </format>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axis="axisValues" fieldPosition="0"/>
    </format>
    <format dxfId="31">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6456DF-0CB9-494E-9DEA-E0F140E010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0">
    <pivotField showAll="0"/>
    <pivotField numFmtId="164" showAll="0"/>
    <pivotField showAll="0"/>
    <pivotField showAll="0"/>
    <pivotField axis="axisRow" showAll="0">
      <items count="4">
        <item x="2"/>
        <item x="1"/>
        <item x="0"/>
        <item t="default"/>
      </items>
    </pivotField>
    <pivotField showAll="0"/>
    <pivotField showAll="0"/>
    <pivotField numFmtId="43" showAll="0"/>
    <pivotField showAll="0"/>
    <pivotField dataField="1" numFmtId="43" showAll="0"/>
  </pivotFields>
  <rowFields count="1">
    <field x="4"/>
  </rowFields>
  <rowItems count="4">
    <i>
      <x/>
    </i>
    <i>
      <x v="1"/>
    </i>
    <i>
      <x v="2"/>
    </i>
    <i t="grand">
      <x/>
    </i>
  </rowItems>
  <colItems count="1">
    <i/>
  </colItems>
  <dataFields count="1">
    <dataField name="Sum of Sales" fld="9" baseField="0" baseItem="0" numFmtId="43"/>
  </dataFields>
  <formats count="7">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outline="0" axis="axisValues" fieldPosition="0"/>
    </format>
    <format dxfId="24">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851AFB-AD1F-45AC-BE46-8B10C9D824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0">
    <pivotField showAll="0"/>
    <pivotField numFmtId="164" showAll="0"/>
    <pivotField showAll="0"/>
    <pivotField showAll="0"/>
    <pivotField showAll="0"/>
    <pivotField axis="axisRow" showAll="0">
      <items count="6">
        <item x="1"/>
        <item x="3"/>
        <item x="2"/>
        <item x="0"/>
        <item x="4"/>
        <item t="default"/>
      </items>
    </pivotField>
    <pivotField showAll="0"/>
    <pivotField numFmtId="43" showAll="0"/>
    <pivotField showAll="0"/>
    <pivotField dataField="1" numFmtId="43" showAll="0"/>
  </pivotFields>
  <rowFields count="1">
    <field x="5"/>
  </rowFields>
  <rowItems count="6">
    <i>
      <x/>
    </i>
    <i>
      <x v="1"/>
    </i>
    <i>
      <x v="2"/>
    </i>
    <i>
      <x v="3"/>
    </i>
    <i>
      <x v="4"/>
    </i>
    <i t="grand">
      <x/>
    </i>
  </rowItems>
  <colItems count="1">
    <i/>
  </colItems>
  <dataFields count="1">
    <dataField name="Sum of Sales" fld="9" baseField="0" baseItem="0"/>
  </dataFields>
  <formats count="8">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fieldPosition="0">
        <references count="1">
          <reference field="5" count="0"/>
        </references>
      </pivotArea>
    </format>
    <format dxfId="19">
      <pivotArea dataOnly="0" labelOnly="1" grandRow="1" outline="0" fieldPosition="0"/>
    </format>
    <format dxfId="18">
      <pivotArea dataOnly="0" labelOnly="1" outline="0" axis="axisValues" fieldPosition="0"/>
    </format>
    <format dxfId="17">
      <pivotArea collapsedLevelsAreSubtotals="1" fieldPosition="0">
        <references count="1">
          <reference field="5" count="0"/>
        </references>
      </pivotArea>
    </format>
    <format dxfId="16">
      <pivotArea grandRow="1" outline="0" collapsedLevelsAreSubtotals="1" fieldPosition="0"/>
    </format>
  </formats>
  <chartFormats count="19">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 chart="6" format="5">
      <pivotArea type="data" outline="0" fieldPosition="0">
        <references count="2">
          <reference field="4294967294" count="1" selected="0">
            <x v="0"/>
          </reference>
          <reference field="5" count="1" selected="0">
            <x v="3"/>
          </reference>
        </references>
      </pivotArea>
    </chartFormat>
    <chartFormat chart="6" format="6">
      <pivotArea type="data" outline="0" fieldPosition="0">
        <references count="2">
          <reference field="4294967294" count="1" selected="0">
            <x v="0"/>
          </reference>
          <reference field="5"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5" count="1" selected="0">
            <x v="0"/>
          </reference>
        </references>
      </pivotArea>
    </chartFormat>
    <chartFormat chart="8" format="9">
      <pivotArea type="data" outline="0" fieldPosition="0">
        <references count="2">
          <reference field="4294967294" count="1" selected="0">
            <x v="0"/>
          </reference>
          <reference field="5" count="1" selected="0">
            <x v="1"/>
          </reference>
        </references>
      </pivotArea>
    </chartFormat>
    <chartFormat chart="8" format="10">
      <pivotArea type="data" outline="0" fieldPosition="0">
        <references count="2">
          <reference field="4294967294" count="1" selected="0">
            <x v="0"/>
          </reference>
          <reference field="5" count="1" selected="0">
            <x v="2"/>
          </reference>
        </references>
      </pivotArea>
    </chartFormat>
    <chartFormat chart="8" format="11">
      <pivotArea type="data" outline="0" fieldPosition="0">
        <references count="2">
          <reference field="4294967294" count="1" selected="0">
            <x v="0"/>
          </reference>
          <reference field="5" count="1" selected="0">
            <x v="3"/>
          </reference>
        </references>
      </pivotArea>
    </chartFormat>
    <chartFormat chart="8" format="12">
      <pivotArea type="data" outline="0" fieldPosition="0">
        <references count="2">
          <reference field="4294967294" count="1" selected="0">
            <x v="0"/>
          </reference>
          <reference field="5" count="1" selected="0">
            <x v="4"/>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 chart="5"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FE13B-A10E-4E88-8006-A8F9ADD84F27}" name="Table1" displayName="Table1" ref="A1:J201" totalsRowShown="0" headerRowDxfId="15" dataDxfId="13" headerRowBorderDxfId="14" tableBorderDxfId="12" totalsRowBorderDxfId="11">
  <autoFilter ref="A1:J201" xr:uid="{91DFE13B-A10E-4E88-8006-A8F9ADD84F27}"/>
  <sortState xmlns:xlrd2="http://schemas.microsoft.com/office/spreadsheetml/2017/richdata2" ref="A2:J201">
    <sortCondition ref="A1:A201"/>
  </sortState>
  <tableColumns count="10">
    <tableColumn id="1" xr3:uid="{0C2FCC1F-260F-46F6-9275-C7EA09CC5709}" name="Order ID" dataDxfId="10"/>
    <tableColumn id="2" xr3:uid="{BB5D433B-B97C-4F07-8BD7-B8D28494280E}" name="Order Date" dataDxfId="9"/>
    <tableColumn id="3" xr3:uid="{CDB5D22C-34B0-4295-9A8D-715A87EC5BEC}" name="Customer" dataDxfId="8"/>
    <tableColumn id="4" xr3:uid="{46A05A9E-A482-4909-ACB3-5E55E5F7465D}" name="Region" dataDxfId="7"/>
    <tableColumn id="5" xr3:uid="{EEC19B79-F3FB-49A7-BF78-7117AA6C6693}" name="Category" dataDxfId="6"/>
    <tableColumn id="6" xr3:uid="{1355321F-6424-48FF-B5ED-6311A76BD787}" name="Product" dataDxfId="5"/>
    <tableColumn id="7" xr3:uid="{4C6443D4-D1A8-4FAE-AFEB-97D920707C56}" name="Qty" dataDxfId="4"/>
    <tableColumn id="8" xr3:uid="{CA2110B2-CB06-44B4-B7C3-93D70D0ECA4F}" name="Unit Price (Currency)" dataDxfId="3" dataCellStyle="Comma"/>
    <tableColumn id="9" xr3:uid="{C14B8506-2D1B-44F7-8CEC-743B100241FC}" name="Discount (%)" dataDxfId="2"/>
    <tableColumn id="10" xr3:uid="{9343D8E4-9652-451B-8EB3-C991B055AF2B}" name="Total (Currency )" dataDxfId="1" dataCellStyle="Comm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AA07E-FA02-4ABA-8719-8150878D3264}">
  <dimension ref="A3:M45"/>
  <sheetViews>
    <sheetView zoomScaleNormal="100" workbookViewId="0">
      <selection activeCell="F28" sqref="F28"/>
    </sheetView>
  </sheetViews>
  <sheetFormatPr defaultRowHeight="14.4" x14ac:dyDescent="0.3"/>
  <cols>
    <col min="1" max="1" width="17.5546875" bestFit="1" customWidth="1"/>
    <col min="2" max="2" width="21.77734375" bestFit="1" customWidth="1"/>
    <col min="3" max="3" width="7" bestFit="1" customWidth="1"/>
    <col min="4" max="4" width="8" bestFit="1" customWidth="1"/>
    <col min="5" max="5" width="7" bestFit="1" customWidth="1"/>
    <col min="6" max="6" width="10.77734375" bestFit="1" customWidth="1"/>
  </cols>
  <sheetData>
    <row r="3" spans="1:2" x14ac:dyDescent="0.3">
      <c r="A3" s="54" t="s">
        <v>88</v>
      </c>
      <c r="B3" s="55" t="s">
        <v>94</v>
      </c>
    </row>
    <row r="4" spans="1:2" x14ac:dyDescent="0.3">
      <c r="A4" s="40" t="s">
        <v>37</v>
      </c>
      <c r="B4" s="53">
        <v>1024.5</v>
      </c>
    </row>
    <row r="5" spans="1:2" x14ac:dyDescent="0.3">
      <c r="A5" s="40" t="s">
        <v>49</v>
      </c>
      <c r="B5" s="53">
        <v>94</v>
      </c>
    </row>
    <row r="6" spans="1:2" x14ac:dyDescent="0.3">
      <c r="A6" s="40" t="s">
        <v>39</v>
      </c>
      <c r="B6" s="53">
        <v>534</v>
      </c>
    </row>
    <row r="7" spans="1:2" x14ac:dyDescent="0.3">
      <c r="A7" s="40" t="s">
        <v>27</v>
      </c>
      <c r="B7" s="53">
        <v>2501</v>
      </c>
    </row>
    <row r="8" spans="1:2" x14ac:dyDescent="0.3">
      <c r="A8" s="40" t="s">
        <v>35</v>
      </c>
      <c r="B8" s="53">
        <v>482</v>
      </c>
    </row>
    <row r="9" spans="1:2" x14ac:dyDescent="0.3">
      <c r="A9" s="40" t="s">
        <v>29</v>
      </c>
      <c r="B9" s="53">
        <v>400</v>
      </c>
    </row>
    <row r="10" spans="1:2" x14ac:dyDescent="0.3">
      <c r="A10" s="40" t="s">
        <v>44</v>
      </c>
      <c r="B10" s="53">
        <v>130</v>
      </c>
    </row>
    <row r="11" spans="1:2" x14ac:dyDescent="0.3">
      <c r="A11" s="40" t="s">
        <v>25</v>
      </c>
      <c r="B11" s="53">
        <v>1400</v>
      </c>
    </row>
    <row r="12" spans="1:2" x14ac:dyDescent="0.3">
      <c r="A12" s="40" t="s">
        <v>43</v>
      </c>
      <c r="B12" s="53">
        <v>354.5</v>
      </c>
    </row>
    <row r="13" spans="1:2" x14ac:dyDescent="0.3">
      <c r="A13" s="40" t="s">
        <v>23</v>
      </c>
      <c r="B13" s="53">
        <v>485</v>
      </c>
    </row>
    <row r="14" spans="1:2" x14ac:dyDescent="0.3">
      <c r="A14" s="40" t="s">
        <v>56</v>
      </c>
      <c r="B14" s="53">
        <v>785</v>
      </c>
    </row>
    <row r="15" spans="1:2" x14ac:dyDescent="0.3">
      <c r="A15" s="40" t="s">
        <v>26</v>
      </c>
      <c r="B15" s="53">
        <v>1466</v>
      </c>
    </row>
    <row r="16" spans="1:2" x14ac:dyDescent="0.3">
      <c r="A16" s="40" t="s">
        <v>38</v>
      </c>
      <c r="B16" s="53">
        <v>123.25</v>
      </c>
    </row>
    <row r="17" spans="1:13" x14ac:dyDescent="0.3">
      <c r="A17" s="40" t="s">
        <v>30</v>
      </c>
      <c r="B17" s="53">
        <v>525</v>
      </c>
    </row>
    <row r="18" spans="1:13" x14ac:dyDescent="0.3">
      <c r="A18" s="40" t="s">
        <v>52</v>
      </c>
      <c r="B18" s="53">
        <v>1633.5</v>
      </c>
    </row>
    <row r="19" spans="1:13" x14ac:dyDescent="0.3">
      <c r="A19" s="40" t="s">
        <v>42</v>
      </c>
      <c r="B19" s="53">
        <v>1580</v>
      </c>
    </row>
    <row r="20" spans="1:13" x14ac:dyDescent="0.3">
      <c r="A20" s="40" t="s">
        <v>40</v>
      </c>
      <c r="B20" s="53">
        <v>527.5</v>
      </c>
    </row>
    <row r="21" spans="1:13" x14ac:dyDescent="0.3">
      <c r="A21" s="40" t="s">
        <v>13</v>
      </c>
      <c r="B21" s="53">
        <v>1461</v>
      </c>
    </row>
    <row r="22" spans="1:13" x14ac:dyDescent="0.3">
      <c r="A22" s="40" t="s">
        <v>33</v>
      </c>
      <c r="B22" s="53">
        <v>238</v>
      </c>
    </row>
    <row r="23" spans="1:13" x14ac:dyDescent="0.3">
      <c r="A23" s="40" t="s">
        <v>54</v>
      </c>
      <c r="B23" s="53">
        <v>200</v>
      </c>
    </row>
    <row r="24" spans="1:13" ht="18" x14ac:dyDescent="0.35">
      <c r="A24" s="40" t="s">
        <v>50</v>
      </c>
      <c r="B24" s="53">
        <v>583</v>
      </c>
      <c r="F24" s="41" t="s">
        <v>90</v>
      </c>
      <c r="G24" s="41"/>
      <c r="H24" s="41"/>
      <c r="I24" s="43">
        <f>COUNTA(A4:A44)</f>
        <v>41</v>
      </c>
      <c r="J24" s="42" t="s">
        <v>91</v>
      </c>
      <c r="K24" s="41"/>
      <c r="L24" s="41"/>
      <c r="M24" s="41"/>
    </row>
    <row r="25" spans="1:13" x14ac:dyDescent="0.3">
      <c r="A25" s="40" t="s">
        <v>36</v>
      </c>
      <c r="B25" s="53">
        <v>456</v>
      </c>
    </row>
    <row r="26" spans="1:13" x14ac:dyDescent="0.3">
      <c r="A26" s="40" t="s">
        <v>41</v>
      </c>
      <c r="B26" s="53">
        <v>620</v>
      </c>
    </row>
    <row r="27" spans="1:13" x14ac:dyDescent="0.3">
      <c r="A27" s="40" t="s">
        <v>31</v>
      </c>
      <c r="B27" s="53">
        <v>678.5</v>
      </c>
    </row>
    <row r="28" spans="1:13" x14ac:dyDescent="0.3">
      <c r="A28" s="40" t="s">
        <v>22</v>
      </c>
      <c r="B28" s="53">
        <v>1156</v>
      </c>
    </row>
    <row r="29" spans="1:13" x14ac:dyDescent="0.3">
      <c r="A29" s="40" t="s">
        <v>18</v>
      </c>
      <c r="B29" s="53">
        <v>1360.5</v>
      </c>
    </row>
    <row r="30" spans="1:13" x14ac:dyDescent="0.3">
      <c r="A30" s="40" t="s">
        <v>19</v>
      </c>
      <c r="B30" s="53">
        <v>749</v>
      </c>
    </row>
    <row r="31" spans="1:13" x14ac:dyDescent="0.3">
      <c r="A31" s="40" t="s">
        <v>48</v>
      </c>
      <c r="B31" s="53">
        <v>1160</v>
      </c>
    </row>
    <row r="32" spans="1:13" x14ac:dyDescent="0.3">
      <c r="A32" s="40" t="s">
        <v>53</v>
      </c>
      <c r="B32" s="53">
        <v>118.75</v>
      </c>
    </row>
    <row r="33" spans="1:2" x14ac:dyDescent="0.3">
      <c r="A33" s="40" t="s">
        <v>5</v>
      </c>
      <c r="B33" s="53">
        <v>1487.25</v>
      </c>
    </row>
    <row r="34" spans="1:2" x14ac:dyDescent="0.3">
      <c r="A34" s="40" t="s">
        <v>46</v>
      </c>
      <c r="B34" s="53">
        <v>814</v>
      </c>
    </row>
    <row r="35" spans="1:2" x14ac:dyDescent="0.3">
      <c r="A35" s="40" t="s">
        <v>9</v>
      </c>
      <c r="B35" s="53">
        <v>2532.5</v>
      </c>
    </row>
    <row r="36" spans="1:2" x14ac:dyDescent="0.3">
      <c r="A36" s="40" t="s">
        <v>34</v>
      </c>
      <c r="B36" s="53">
        <v>915</v>
      </c>
    </row>
    <row r="37" spans="1:2" x14ac:dyDescent="0.3">
      <c r="A37" s="40" t="s">
        <v>32</v>
      </c>
      <c r="B37" s="53">
        <v>295</v>
      </c>
    </row>
    <row r="38" spans="1:2" x14ac:dyDescent="0.3">
      <c r="A38" s="40" t="s">
        <v>55</v>
      </c>
      <c r="B38" s="53">
        <v>415</v>
      </c>
    </row>
    <row r="39" spans="1:2" x14ac:dyDescent="0.3">
      <c r="A39" s="40" t="s">
        <v>51</v>
      </c>
      <c r="B39" s="53">
        <v>1375</v>
      </c>
    </row>
    <row r="40" spans="1:2" x14ac:dyDescent="0.3">
      <c r="A40" s="40" t="s">
        <v>47</v>
      </c>
      <c r="B40" s="53">
        <v>268</v>
      </c>
    </row>
    <row r="41" spans="1:2" x14ac:dyDescent="0.3">
      <c r="A41" s="40" t="s">
        <v>28</v>
      </c>
      <c r="B41" s="53">
        <v>405.5</v>
      </c>
    </row>
    <row r="42" spans="1:2" x14ac:dyDescent="0.3">
      <c r="A42" s="40" t="s">
        <v>45</v>
      </c>
      <c r="B42" s="53">
        <v>927.5</v>
      </c>
    </row>
    <row r="43" spans="1:2" x14ac:dyDescent="0.3">
      <c r="A43" s="40" t="s">
        <v>24</v>
      </c>
      <c r="B43" s="53">
        <v>784.5</v>
      </c>
    </row>
    <row r="44" spans="1:2" x14ac:dyDescent="0.3">
      <c r="A44" s="40" t="s">
        <v>71</v>
      </c>
      <c r="B44" s="53">
        <v>50</v>
      </c>
    </row>
    <row r="45" spans="1:2" x14ac:dyDescent="0.3">
      <c r="A45" s="40" t="s">
        <v>89</v>
      </c>
      <c r="B45" s="53">
        <v>33095.25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F2B6-9AE3-4C23-A33E-6E3743684358}">
  <dimension ref="A3:B8"/>
  <sheetViews>
    <sheetView workbookViewId="0">
      <selection activeCell="B19" sqref="B19"/>
    </sheetView>
  </sheetViews>
  <sheetFormatPr defaultRowHeight="14.4" x14ac:dyDescent="0.3"/>
  <cols>
    <col min="1" max="1" width="18.88671875" customWidth="1"/>
    <col min="2" max="2" width="21.77734375" bestFit="1" customWidth="1"/>
  </cols>
  <sheetData>
    <row r="3" spans="1:2" x14ac:dyDescent="0.3">
      <c r="A3" s="54" t="s">
        <v>88</v>
      </c>
      <c r="B3" s="55" t="s">
        <v>93</v>
      </c>
    </row>
    <row r="4" spans="1:2" x14ac:dyDescent="0.3">
      <c r="A4" s="40" t="s">
        <v>14</v>
      </c>
      <c r="B4" s="53">
        <v>12541</v>
      </c>
    </row>
    <row r="5" spans="1:2" x14ac:dyDescent="0.3">
      <c r="A5" s="40" t="s">
        <v>10</v>
      </c>
      <c r="B5" s="53">
        <v>7793</v>
      </c>
    </row>
    <row r="6" spans="1:2" x14ac:dyDescent="0.3">
      <c r="A6" s="40" t="s">
        <v>15</v>
      </c>
      <c r="B6" s="53">
        <v>7684.25</v>
      </c>
    </row>
    <row r="7" spans="1:2" x14ac:dyDescent="0.3">
      <c r="A7" s="40" t="s">
        <v>6</v>
      </c>
      <c r="B7" s="53">
        <v>5077</v>
      </c>
    </row>
    <row r="8" spans="1:2" x14ac:dyDescent="0.3">
      <c r="A8" s="40" t="s">
        <v>89</v>
      </c>
      <c r="B8" s="53">
        <v>33095.25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6996-96C4-4501-9563-7AD62AE3F44B}">
  <dimension ref="A3:B7"/>
  <sheetViews>
    <sheetView workbookViewId="0">
      <selection activeCell="C19" sqref="C19"/>
    </sheetView>
  </sheetViews>
  <sheetFormatPr defaultRowHeight="14.4" x14ac:dyDescent="0.3"/>
  <cols>
    <col min="1" max="1" width="17" customWidth="1"/>
    <col min="2" max="2" width="21.77734375" bestFit="1" customWidth="1"/>
  </cols>
  <sheetData>
    <row r="3" spans="1:2" x14ac:dyDescent="0.3">
      <c r="A3" s="54" t="s">
        <v>88</v>
      </c>
      <c r="B3" s="55" t="s">
        <v>95</v>
      </c>
    </row>
    <row r="4" spans="1:2" x14ac:dyDescent="0.3">
      <c r="A4" s="40" t="s">
        <v>16</v>
      </c>
      <c r="B4" s="53">
        <v>10898.5</v>
      </c>
    </row>
    <row r="5" spans="1:2" x14ac:dyDescent="0.3">
      <c r="A5" s="40" t="s">
        <v>11</v>
      </c>
      <c r="B5" s="53">
        <v>5932.5</v>
      </c>
    </row>
    <row r="6" spans="1:2" x14ac:dyDescent="0.3">
      <c r="A6" s="40" t="s">
        <v>7</v>
      </c>
      <c r="B6" s="53">
        <v>16264.25</v>
      </c>
    </row>
    <row r="7" spans="1:2" x14ac:dyDescent="0.3">
      <c r="A7" s="40" t="s">
        <v>89</v>
      </c>
      <c r="B7" s="53">
        <v>33095.25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1A106-74DC-4DC0-AC29-B0E5FF81D944}">
  <dimension ref="A3:B9"/>
  <sheetViews>
    <sheetView workbookViewId="0">
      <selection activeCell="D25" sqref="D25"/>
    </sheetView>
  </sheetViews>
  <sheetFormatPr defaultRowHeight="14.4" x14ac:dyDescent="0.3"/>
  <cols>
    <col min="1" max="1" width="16.109375" customWidth="1"/>
    <col min="2" max="2" width="21.77734375" bestFit="1" customWidth="1"/>
  </cols>
  <sheetData>
    <row r="3" spans="1:2" x14ac:dyDescent="0.3">
      <c r="A3" s="54" t="s">
        <v>88</v>
      </c>
      <c r="B3" s="55" t="s">
        <v>95</v>
      </c>
    </row>
    <row r="4" spans="1:2" x14ac:dyDescent="0.3">
      <c r="A4" s="40" t="s">
        <v>12</v>
      </c>
      <c r="B4" s="53">
        <v>5932.5</v>
      </c>
    </row>
    <row r="5" spans="1:2" x14ac:dyDescent="0.3">
      <c r="A5" s="40" t="s">
        <v>20</v>
      </c>
      <c r="B5" s="53">
        <v>5861.75</v>
      </c>
    </row>
    <row r="6" spans="1:2" x14ac:dyDescent="0.3">
      <c r="A6" s="40" t="s">
        <v>17</v>
      </c>
      <c r="B6" s="53">
        <v>5036.75</v>
      </c>
    </row>
    <row r="7" spans="1:2" x14ac:dyDescent="0.3">
      <c r="A7" s="40" t="s">
        <v>8</v>
      </c>
      <c r="B7" s="53">
        <v>8631</v>
      </c>
    </row>
    <row r="8" spans="1:2" x14ac:dyDescent="0.3">
      <c r="A8" s="40" t="s">
        <v>21</v>
      </c>
      <c r="B8" s="53">
        <v>7633.25</v>
      </c>
    </row>
    <row r="9" spans="1:2" x14ac:dyDescent="0.3">
      <c r="A9" s="40" t="s">
        <v>89</v>
      </c>
      <c r="B9" s="53">
        <v>33095.25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0"/>
  <sheetViews>
    <sheetView zoomScale="91" zoomScaleNormal="91" workbookViewId="0">
      <pane ySplit="1" topLeftCell="A2" activePane="bottomLeft" state="frozen"/>
      <selection pane="bottomLeft" activeCell="L264" sqref="L264"/>
    </sheetView>
  </sheetViews>
  <sheetFormatPr defaultRowHeight="14.4" x14ac:dyDescent="0.3"/>
  <cols>
    <col min="1" max="1" width="9.88671875" customWidth="1"/>
    <col min="2" max="2" width="13.77734375" customWidth="1"/>
    <col min="3" max="3" width="16.5546875" customWidth="1"/>
    <col min="4" max="4" width="10.44140625" customWidth="1"/>
    <col min="5" max="5" width="14.5546875" customWidth="1"/>
    <col min="6" max="6" width="11.5546875" customWidth="1"/>
    <col min="8" max="8" width="13.5546875" customWidth="1"/>
    <col min="9" max="9" width="13.44140625" customWidth="1"/>
    <col min="10" max="11" width="12.6640625" style="4" customWidth="1"/>
    <col min="15" max="15" width="17.109375" customWidth="1"/>
  </cols>
  <sheetData>
    <row r="1" spans="1:17" ht="37.799999999999997" customHeight="1" x14ac:dyDescent="0.3">
      <c r="A1" s="12" t="s">
        <v>57</v>
      </c>
      <c r="B1" s="13" t="s">
        <v>58</v>
      </c>
      <c r="C1" s="13" t="s">
        <v>0</v>
      </c>
      <c r="D1" s="13" t="s">
        <v>1</v>
      </c>
      <c r="E1" s="13" t="s">
        <v>2</v>
      </c>
      <c r="F1" s="13" t="s">
        <v>3</v>
      </c>
      <c r="G1" s="13" t="s">
        <v>4</v>
      </c>
      <c r="H1" s="13" t="s">
        <v>60</v>
      </c>
      <c r="I1" s="13" t="s">
        <v>59</v>
      </c>
      <c r="J1" s="14" t="s">
        <v>61</v>
      </c>
      <c r="K1" s="66"/>
    </row>
    <row r="2" spans="1:17" x14ac:dyDescent="0.3">
      <c r="A2" s="22">
        <v>1001</v>
      </c>
      <c r="B2" s="2">
        <v>46201</v>
      </c>
      <c r="C2" s="37" t="s">
        <v>5</v>
      </c>
      <c r="D2" s="1" t="s">
        <v>6</v>
      </c>
      <c r="E2" s="1" t="s">
        <v>7</v>
      </c>
      <c r="F2" s="1" t="s">
        <v>8</v>
      </c>
      <c r="G2" s="1">
        <v>3</v>
      </c>
      <c r="H2" s="3">
        <v>5</v>
      </c>
      <c r="I2" s="1">
        <v>5</v>
      </c>
      <c r="J2" s="11">
        <v>14.25</v>
      </c>
      <c r="K2" s="67"/>
    </row>
    <row r="3" spans="1:17" ht="15.6" customHeight="1" x14ac:dyDescent="0.3">
      <c r="A3" s="10">
        <v>1002</v>
      </c>
      <c r="B3" s="2">
        <v>46105</v>
      </c>
      <c r="C3" s="37" t="s">
        <v>9</v>
      </c>
      <c r="D3" s="1" t="s">
        <v>10</v>
      </c>
      <c r="E3" s="1" t="s">
        <v>11</v>
      </c>
      <c r="F3" s="1" t="s">
        <v>12</v>
      </c>
      <c r="G3" s="1">
        <v>8</v>
      </c>
      <c r="H3" s="3">
        <v>20</v>
      </c>
      <c r="I3" s="1">
        <v>0</v>
      </c>
      <c r="J3" s="11">
        <v>160</v>
      </c>
      <c r="K3" s="67"/>
      <c r="L3" s="76" t="s">
        <v>81</v>
      </c>
      <c r="M3" s="77"/>
      <c r="N3" s="77"/>
      <c r="O3" s="78"/>
    </row>
    <row r="4" spans="1:17" ht="15.6" customHeight="1" x14ac:dyDescent="0.3">
      <c r="A4" s="10">
        <v>1003</v>
      </c>
      <c r="B4" s="2">
        <v>46064</v>
      </c>
      <c r="C4" s="37" t="s">
        <v>13</v>
      </c>
      <c r="D4" s="1" t="s">
        <v>14</v>
      </c>
      <c r="E4" s="1" t="s">
        <v>11</v>
      </c>
      <c r="F4" s="1" t="s">
        <v>12</v>
      </c>
      <c r="G4" s="1">
        <v>4</v>
      </c>
      <c r="H4" s="3">
        <v>20</v>
      </c>
      <c r="I4" s="1">
        <v>5</v>
      </c>
      <c r="J4" s="11">
        <v>76</v>
      </c>
      <c r="K4" s="67"/>
      <c r="L4" s="79"/>
      <c r="M4" s="80"/>
      <c r="N4" s="80"/>
      <c r="O4" s="81"/>
    </row>
    <row r="5" spans="1:17" ht="15.6" x14ac:dyDescent="0.3">
      <c r="A5" s="10">
        <v>1004</v>
      </c>
      <c r="B5" s="2">
        <v>46072</v>
      </c>
      <c r="C5" s="38" t="s">
        <v>71</v>
      </c>
      <c r="D5" s="1" t="s">
        <v>15</v>
      </c>
      <c r="E5" s="1" t="s">
        <v>16</v>
      </c>
      <c r="F5" s="1" t="s">
        <v>17</v>
      </c>
      <c r="G5" s="1">
        <v>5</v>
      </c>
      <c r="H5" s="3">
        <v>10</v>
      </c>
      <c r="I5" s="1">
        <v>0</v>
      </c>
      <c r="J5" s="11">
        <v>50</v>
      </c>
      <c r="K5" s="67"/>
      <c r="L5" s="44" t="s">
        <v>82</v>
      </c>
      <c r="M5" s="45"/>
      <c r="N5" s="46"/>
      <c r="O5" s="47">
        <f>SUM(Table1[Total (Currency )])</f>
        <v>33095.25</v>
      </c>
    </row>
    <row r="6" spans="1:17" ht="15.6" x14ac:dyDescent="0.3">
      <c r="A6" s="10">
        <v>1005</v>
      </c>
      <c r="B6" s="2">
        <v>46169</v>
      </c>
      <c r="C6" s="37" t="s">
        <v>18</v>
      </c>
      <c r="D6" s="1" t="s">
        <v>10</v>
      </c>
      <c r="E6" s="1" t="s">
        <v>7</v>
      </c>
      <c r="F6" s="1" t="s">
        <v>8</v>
      </c>
      <c r="G6" s="1">
        <v>10</v>
      </c>
      <c r="H6" s="3">
        <v>50</v>
      </c>
      <c r="I6" s="1">
        <v>5</v>
      </c>
      <c r="J6" s="11">
        <v>475</v>
      </c>
      <c r="K6" s="67"/>
      <c r="L6" s="44" t="s">
        <v>83</v>
      </c>
      <c r="M6" s="45"/>
      <c r="N6" s="46"/>
      <c r="O6" s="46">
        <f>AVERAGE(Table1[Total (Currency )])</f>
        <v>165.47624999999999</v>
      </c>
    </row>
    <row r="7" spans="1:17" ht="15.6" x14ac:dyDescent="0.3">
      <c r="A7" s="10">
        <v>1006</v>
      </c>
      <c r="B7" s="2">
        <v>46184</v>
      </c>
      <c r="C7" s="37" t="s">
        <v>19</v>
      </c>
      <c r="D7" s="1" t="s">
        <v>15</v>
      </c>
      <c r="E7" s="1" t="s">
        <v>16</v>
      </c>
      <c r="F7" s="1" t="s">
        <v>20</v>
      </c>
      <c r="G7" s="1">
        <v>3</v>
      </c>
      <c r="H7" s="3">
        <v>5</v>
      </c>
      <c r="I7" s="1">
        <v>5</v>
      </c>
      <c r="J7" s="11">
        <v>14.25</v>
      </c>
      <c r="K7" s="67"/>
      <c r="L7" s="44" t="s">
        <v>84</v>
      </c>
      <c r="M7" s="45"/>
      <c r="N7" s="46"/>
      <c r="O7" s="56">
        <f>MAX(Table1[Total (Currency )])</f>
        <v>1000</v>
      </c>
    </row>
    <row r="8" spans="1:17" ht="15.6" x14ac:dyDescent="0.3">
      <c r="A8" s="10">
        <v>1007</v>
      </c>
      <c r="B8" s="2">
        <v>46030</v>
      </c>
      <c r="C8" s="37" t="s">
        <v>18</v>
      </c>
      <c r="D8" s="1" t="s">
        <v>14</v>
      </c>
      <c r="E8" s="1" t="s">
        <v>7</v>
      </c>
      <c r="F8" s="1" t="s">
        <v>21</v>
      </c>
      <c r="G8" s="1">
        <v>3</v>
      </c>
      <c r="H8" s="3">
        <v>100</v>
      </c>
      <c r="I8" s="1">
        <v>5</v>
      </c>
      <c r="J8" s="11">
        <v>285</v>
      </c>
      <c r="K8" s="67"/>
      <c r="L8" s="44" t="s">
        <v>85</v>
      </c>
      <c r="M8" s="45"/>
      <c r="N8" s="46"/>
      <c r="O8" s="46">
        <f>MIN(Table1[Total (Currency )])</f>
        <v>4.5</v>
      </c>
    </row>
    <row r="9" spans="1:17" ht="15.6" x14ac:dyDescent="0.3">
      <c r="A9" s="10">
        <v>1008</v>
      </c>
      <c r="B9" s="2">
        <v>46086</v>
      </c>
      <c r="C9" s="37" t="s">
        <v>22</v>
      </c>
      <c r="D9" s="1" t="s">
        <v>15</v>
      </c>
      <c r="E9" s="1" t="s">
        <v>7</v>
      </c>
      <c r="F9" s="1" t="s">
        <v>8</v>
      </c>
      <c r="G9" s="1">
        <v>8</v>
      </c>
      <c r="H9" s="3">
        <v>100</v>
      </c>
      <c r="I9" s="1">
        <v>5</v>
      </c>
      <c r="J9" s="11">
        <v>760</v>
      </c>
      <c r="K9" s="67"/>
      <c r="L9" s="48" t="s">
        <v>86</v>
      </c>
      <c r="M9" s="49"/>
      <c r="N9" s="50"/>
      <c r="O9" s="50">
        <f>COUNTA(Table1[Order ID])</f>
        <v>200</v>
      </c>
    </row>
    <row r="10" spans="1:17" ht="15.6" x14ac:dyDescent="0.3">
      <c r="A10" s="10">
        <v>1009</v>
      </c>
      <c r="B10" s="2">
        <v>46117</v>
      </c>
      <c r="C10" s="37" t="s">
        <v>9</v>
      </c>
      <c r="D10" s="1" t="s">
        <v>10</v>
      </c>
      <c r="E10" s="1" t="s">
        <v>16</v>
      </c>
      <c r="F10" s="1" t="s">
        <v>20</v>
      </c>
      <c r="G10" s="1">
        <v>9</v>
      </c>
      <c r="H10" s="3">
        <v>10</v>
      </c>
      <c r="I10" s="1">
        <v>5</v>
      </c>
      <c r="J10" s="11">
        <v>85.5</v>
      </c>
      <c r="K10" s="67"/>
      <c r="L10" s="51" t="s">
        <v>87</v>
      </c>
      <c r="M10" s="52"/>
      <c r="N10" s="52"/>
      <c r="O10" s="36">
        <v>41</v>
      </c>
      <c r="P10" s="82" t="s">
        <v>92</v>
      </c>
      <c r="Q10" s="82"/>
    </row>
    <row r="11" spans="1:17" x14ac:dyDescent="0.3">
      <c r="A11" s="10">
        <v>1010</v>
      </c>
      <c r="B11" s="2">
        <v>46089</v>
      </c>
      <c r="C11" s="37" t="s">
        <v>23</v>
      </c>
      <c r="D11" s="1" t="s">
        <v>10</v>
      </c>
      <c r="E11" s="1" t="s">
        <v>16</v>
      </c>
      <c r="F11" s="1" t="s">
        <v>20</v>
      </c>
      <c r="G11" s="1">
        <v>2</v>
      </c>
      <c r="H11" s="3">
        <v>50</v>
      </c>
      <c r="I11" s="1">
        <v>0</v>
      </c>
      <c r="J11" s="11">
        <v>100</v>
      </c>
      <c r="K11" s="67"/>
      <c r="P11" s="82"/>
      <c r="Q11" s="82"/>
    </row>
    <row r="12" spans="1:17" x14ac:dyDescent="0.3">
      <c r="A12" s="10">
        <v>1011</v>
      </c>
      <c r="B12" s="2">
        <v>46122</v>
      </c>
      <c r="C12" s="37" t="s">
        <v>24</v>
      </c>
      <c r="D12" s="1" t="s">
        <v>14</v>
      </c>
      <c r="E12" s="1" t="s">
        <v>11</v>
      </c>
      <c r="F12" s="1" t="s">
        <v>12</v>
      </c>
      <c r="G12" s="1">
        <v>3</v>
      </c>
      <c r="H12" s="3">
        <v>50</v>
      </c>
      <c r="I12" s="1">
        <v>0</v>
      </c>
      <c r="J12" s="11">
        <v>150</v>
      </c>
      <c r="K12" s="67"/>
    </row>
    <row r="13" spans="1:17" x14ac:dyDescent="0.3">
      <c r="A13" s="10">
        <v>1012</v>
      </c>
      <c r="B13" s="2">
        <v>46113</v>
      </c>
      <c r="C13" s="37" t="s">
        <v>25</v>
      </c>
      <c r="D13" s="1" t="s">
        <v>10</v>
      </c>
      <c r="E13" s="1" t="s">
        <v>7</v>
      </c>
      <c r="F13" s="1" t="s">
        <v>21</v>
      </c>
      <c r="G13" s="1">
        <v>1</v>
      </c>
      <c r="H13" s="3">
        <v>50</v>
      </c>
      <c r="I13" s="1">
        <v>0</v>
      </c>
      <c r="J13" s="11">
        <v>50</v>
      </c>
      <c r="K13" s="67"/>
    </row>
    <row r="14" spans="1:17" x14ac:dyDescent="0.3">
      <c r="A14" s="10">
        <v>1013</v>
      </c>
      <c r="B14" s="2">
        <v>46046</v>
      </c>
      <c r="C14" s="37" t="s">
        <v>26</v>
      </c>
      <c r="D14" s="1" t="s">
        <v>14</v>
      </c>
      <c r="E14" s="1" t="s">
        <v>7</v>
      </c>
      <c r="F14" s="1" t="s">
        <v>21</v>
      </c>
      <c r="G14" s="1">
        <v>8</v>
      </c>
      <c r="H14" s="3">
        <v>50</v>
      </c>
      <c r="I14" s="1">
        <v>10</v>
      </c>
      <c r="J14" s="11">
        <v>360</v>
      </c>
      <c r="K14" s="67"/>
    </row>
    <row r="15" spans="1:17" x14ac:dyDescent="0.3">
      <c r="A15" s="10">
        <v>1014</v>
      </c>
      <c r="B15" s="2">
        <v>46133</v>
      </c>
      <c r="C15" s="37" t="s">
        <v>27</v>
      </c>
      <c r="D15" s="1" t="s">
        <v>14</v>
      </c>
      <c r="E15" s="1" t="s">
        <v>16</v>
      </c>
      <c r="F15" s="1" t="s">
        <v>20</v>
      </c>
      <c r="G15" s="1">
        <v>2</v>
      </c>
      <c r="H15" s="3">
        <v>5</v>
      </c>
      <c r="I15" s="1">
        <v>0</v>
      </c>
      <c r="J15" s="11">
        <v>10</v>
      </c>
      <c r="K15" s="67"/>
    </row>
    <row r="16" spans="1:17" x14ac:dyDescent="0.3">
      <c r="A16" s="10">
        <v>1015</v>
      </c>
      <c r="B16" s="2">
        <v>46137</v>
      </c>
      <c r="C16" s="37" t="s">
        <v>28</v>
      </c>
      <c r="D16" s="1" t="s">
        <v>15</v>
      </c>
      <c r="E16" s="1" t="s">
        <v>7</v>
      </c>
      <c r="F16" s="1" t="s">
        <v>8</v>
      </c>
      <c r="G16" s="1">
        <v>9</v>
      </c>
      <c r="H16" s="3">
        <v>10</v>
      </c>
      <c r="I16" s="1">
        <v>10</v>
      </c>
      <c r="J16" s="11">
        <v>81</v>
      </c>
      <c r="K16" s="67"/>
    </row>
    <row r="17" spans="1:11" x14ac:dyDescent="0.3">
      <c r="A17" s="10">
        <v>1016</v>
      </c>
      <c r="B17" s="2">
        <v>46150</v>
      </c>
      <c r="C17" s="37" t="s">
        <v>26</v>
      </c>
      <c r="D17" s="1" t="s">
        <v>15</v>
      </c>
      <c r="E17" s="1" t="s">
        <v>7</v>
      </c>
      <c r="F17" s="1" t="s">
        <v>8</v>
      </c>
      <c r="G17" s="1">
        <v>3</v>
      </c>
      <c r="H17" s="3">
        <v>5</v>
      </c>
      <c r="I17" s="1">
        <v>0</v>
      </c>
      <c r="J17" s="11">
        <v>15</v>
      </c>
      <c r="K17" s="67"/>
    </row>
    <row r="18" spans="1:11" x14ac:dyDescent="0.3">
      <c r="A18" s="10">
        <v>1017</v>
      </c>
      <c r="B18" s="2">
        <v>46038</v>
      </c>
      <c r="C18" s="37" t="s">
        <v>22</v>
      </c>
      <c r="D18" s="1" t="s">
        <v>10</v>
      </c>
      <c r="E18" s="1" t="s">
        <v>7</v>
      </c>
      <c r="F18" s="1" t="s">
        <v>8</v>
      </c>
      <c r="G18" s="1">
        <v>4</v>
      </c>
      <c r="H18" s="3">
        <v>20</v>
      </c>
      <c r="I18" s="1">
        <v>0</v>
      </c>
      <c r="J18" s="11">
        <v>80</v>
      </c>
      <c r="K18" s="67"/>
    </row>
    <row r="19" spans="1:11" x14ac:dyDescent="0.3">
      <c r="A19" s="10">
        <v>1018</v>
      </c>
      <c r="B19" s="2">
        <v>46184</v>
      </c>
      <c r="C19" s="37" t="s">
        <v>29</v>
      </c>
      <c r="D19" s="1" t="s">
        <v>14</v>
      </c>
      <c r="E19" s="1" t="s">
        <v>16</v>
      </c>
      <c r="F19" s="1" t="s">
        <v>20</v>
      </c>
      <c r="G19" s="1">
        <v>10</v>
      </c>
      <c r="H19" s="3">
        <v>20</v>
      </c>
      <c r="I19" s="1">
        <v>0</v>
      </c>
      <c r="J19" s="11">
        <v>200</v>
      </c>
      <c r="K19" s="67"/>
    </row>
    <row r="20" spans="1:11" x14ac:dyDescent="0.3">
      <c r="A20" s="10">
        <v>1019</v>
      </c>
      <c r="B20" s="2">
        <v>46031</v>
      </c>
      <c r="C20" s="37" t="s">
        <v>22</v>
      </c>
      <c r="D20" s="1" t="s">
        <v>14</v>
      </c>
      <c r="E20" s="1" t="s">
        <v>11</v>
      </c>
      <c r="F20" s="1" t="s">
        <v>12</v>
      </c>
      <c r="G20" s="1">
        <v>10</v>
      </c>
      <c r="H20" s="3">
        <v>20</v>
      </c>
      <c r="I20" s="1">
        <v>10</v>
      </c>
      <c r="J20" s="11">
        <v>180</v>
      </c>
      <c r="K20" s="67"/>
    </row>
    <row r="21" spans="1:11" x14ac:dyDescent="0.3">
      <c r="A21" s="10">
        <v>1020</v>
      </c>
      <c r="B21" s="2">
        <v>46077</v>
      </c>
      <c r="C21" s="37" t="s">
        <v>30</v>
      </c>
      <c r="D21" s="1" t="s">
        <v>14</v>
      </c>
      <c r="E21" s="1" t="s">
        <v>7</v>
      </c>
      <c r="F21" s="1" t="s">
        <v>8</v>
      </c>
      <c r="G21" s="1">
        <v>7</v>
      </c>
      <c r="H21" s="3">
        <v>50</v>
      </c>
      <c r="I21" s="1">
        <v>0</v>
      </c>
      <c r="J21" s="11">
        <v>350</v>
      </c>
      <c r="K21" s="67"/>
    </row>
    <row r="22" spans="1:11" x14ac:dyDescent="0.3">
      <c r="A22" s="10">
        <v>1021</v>
      </c>
      <c r="B22" s="2">
        <v>46045</v>
      </c>
      <c r="C22" s="37" t="s">
        <v>29</v>
      </c>
      <c r="D22" s="1" t="s">
        <v>6</v>
      </c>
      <c r="E22" s="1" t="s">
        <v>7</v>
      </c>
      <c r="F22" s="1" t="s">
        <v>8</v>
      </c>
      <c r="G22" s="1">
        <v>10</v>
      </c>
      <c r="H22" s="3">
        <v>20</v>
      </c>
      <c r="I22" s="1">
        <v>0</v>
      </c>
      <c r="J22" s="11">
        <v>200</v>
      </c>
      <c r="K22" s="67"/>
    </row>
    <row r="23" spans="1:11" x14ac:dyDescent="0.3">
      <c r="A23" s="10">
        <v>1022</v>
      </c>
      <c r="B23" s="2">
        <v>46130</v>
      </c>
      <c r="C23" s="37" t="s">
        <v>31</v>
      </c>
      <c r="D23" s="1" t="s">
        <v>15</v>
      </c>
      <c r="E23" s="1" t="s">
        <v>7</v>
      </c>
      <c r="F23" s="1" t="s">
        <v>8</v>
      </c>
      <c r="G23" s="1">
        <v>4</v>
      </c>
      <c r="H23" s="3">
        <v>10</v>
      </c>
      <c r="I23" s="1">
        <v>10</v>
      </c>
      <c r="J23" s="11">
        <v>36</v>
      </c>
      <c r="K23" s="67"/>
    </row>
    <row r="24" spans="1:11" x14ac:dyDescent="0.3">
      <c r="A24" s="10">
        <v>1023</v>
      </c>
      <c r="B24" s="2">
        <v>46089</v>
      </c>
      <c r="C24" s="37" t="s">
        <v>32</v>
      </c>
      <c r="D24" s="1" t="s">
        <v>14</v>
      </c>
      <c r="E24" s="1" t="s">
        <v>16</v>
      </c>
      <c r="F24" s="1" t="s">
        <v>20</v>
      </c>
      <c r="G24" s="1">
        <v>1</v>
      </c>
      <c r="H24" s="3">
        <v>5</v>
      </c>
      <c r="I24" s="1">
        <v>0</v>
      </c>
      <c r="J24" s="11">
        <v>5</v>
      </c>
      <c r="K24" s="67"/>
    </row>
    <row r="25" spans="1:11" x14ac:dyDescent="0.3">
      <c r="A25" s="10">
        <v>1024</v>
      </c>
      <c r="B25" s="2">
        <v>46100</v>
      </c>
      <c r="C25" s="37" t="s">
        <v>19</v>
      </c>
      <c r="D25" s="1" t="s">
        <v>14</v>
      </c>
      <c r="E25" s="1" t="s">
        <v>7</v>
      </c>
      <c r="F25" s="1" t="s">
        <v>8</v>
      </c>
      <c r="G25" s="1">
        <v>7</v>
      </c>
      <c r="H25" s="3">
        <v>50</v>
      </c>
      <c r="I25" s="1">
        <v>0</v>
      </c>
      <c r="J25" s="11">
        <v>350</v>
      </c>
      <c r="K25" s="67"/>
    </row>
    <row r="26" spans="1:11" x14ac:dyDescent="0.3">
      <c r="A26" s="10">
        <v>1025</v>
      </c>
      <c r="B26" s="2">
        <v>46143</v>
      </c>
      <c r="C26" s="37" t="s">
        <v>33</v>
      </c>
      <c r="D26" s="1" t="s">
        <v>6</v>
      </c>
      <c r="E26" s="1" t="s">
        <v>7</v>
      </c>
      <c r="F26" s="1" t="s">
        <v>21</v>
      </c>
      <c r="G26" s="1">
        <v>6</v>
      </c>
      <c r="H26" s="3">
        <v>10</v>
      </c>
      <c r="I26" s="1">
        <v>0</v>
      </c>
      <c r="J26" s="11">
        <v>60</v>
      </c>
      <c r="K26" s="67"/>
    </row>
    <row r="27" spans="1:11" x14ac:dyDescent="0.3">
      <c r="A27" s="10">
        <v>1026</v>
      </c>
      <c r="B27" s="2">
        <v>46079</v>
      </c>
      <c r="C27" s="37" t="s">
        <v>33</v>
      </c>
      <c r="D27" s="1" t="s">
        <v>10</v>
      </c>
      <c r="E27" s="1" t="s">
        <v>7</v>
      </c>
      <c r="F27" s="1" t="s">
        <v>21</v>
      </c>
      <c r="G27" s="1">
        <v>9</v>
      </c>
      <c r="H27" s="3">
        <v>5</v>
      </c>
      <c r="I27" s="1">
        <v>0</v>
      </c>
      <c r="J27" s="11">
        <v>45</v>
      </c>
      <c r="K27" s="67"/>
    </row>
    <row r="28" spans="1:11" x14ac:dyDescent="0.3">
      <c r="A28" s="10">
        <v>1027</v>
      </c>
      <c r="B28" s="2">
        <v>46183</v>
      </c>
      <c r="C28" s="37" t="s">
        <v>34</v>
      </c>
      <c r="D28" s="1" t="s">
        <v>14</v>
      </c>
      <c r="E28" s="1" t="s">
        <v>7</v>
      </c>
      <c r="F28" s="1" t="s">
        <v>8</v>
      </c>
      <c r="G28" s="1">
        <v>7</v>
      </c>
      <c r="H28" s="3">
        <v>5</v>
      </c>
      <c r="I28" s="1">
        <v>0</v>
      </c>
      <c r="J28" s="11">
        <v>35</v>
      </c>
      <c r="K28" s="67"/>
    </row>
    <row r="29" spans="1:11" x14ac:dyDescent="0.3">
      <c r="A29" s="10">
        <v>1028</v>
      </c>
      <c r="B29" s="2">
        <v>46150</v>
      </c>
      <c r="C29" s="37" t="s">
        <v>35</v>
      </c>
      <c r="D29" s="1" t="s">
        <v>15</v>
      </c>
      <c r="E29" s="1" t="s">
        <v>11</v>
      </c>
      <c r="F29" s="1" t="s">
        <v>12</v>
      </c>
      <c r="G29" s="1">
        <v>5</v>
      </c>
      <c r="H29" s="3">
        <v>50</v>
      </c>
      <c r="I29" s="1">
        <v>10</v>
      </c>
      <c r="J29" s="11">
        <v>225</v>
      </c>
      <c r="K29" s="67"/>
    </row>
    <row r="30" spans="1:11" x14ac:dyDescent="0.3">
      <c r="A30" s="10">
        <v>1029</v>
      </c>
      <c r="B30" s="2">
        <v>46124</v>
      </c>
      <c r="C30" s="37" t="s">
        <v>24</v>
      </c>
      <c r="D30" s="1" t="s">
        <v>14</v>
      </c>
      <c r="E30" s="1" t="s">
        <v>16</v>
      </c>
      <c r="F30" s="1" t="s">
        <v>20</v>
      </c>
      <c r="G30" s="1">
        <v>4</v>
      </c>
      <c r="H30" s="3">
        <v>100</v>
      </c>
      <c r="I30" s="1">
        <v>0</v>
      </c>
      <c r="J30" s="11">
        <v>400</v>
      </c>
      <c r="K30" s="67"/>
    </row>
    <row r="31" spans="1:11" x14ac:dyDescent="0.3">
      <c r="A31" s="10">
        <v>1030</v>
      </c>
      <c r="B31" s="2">
        <v>46135</v>
      </c>
      <c r="C31" s="37" t="s">
        <v>36</v>
      </c>
      <c r="D31" s="1" t="s">
        <v>15</v>
      </c>
      <c r="E31" s="1" t="s">
        <v>7</v>
      </c>
      <c r="F31" s="1" t="s">
        <v>8</v>
      </c>
      <c r="G31" s="1">
        <v>9</v>
      </c>
      <c r="H31" s="3">
        <v>20</v>
      </c>
      <c r="I31" s="1">
        <v>5</v>
      </c>
      <c r="J31" s="11">
        <v>171</v>
      </c>
      <c r="K31" s="67"/>
    </row>
    <row r="32" spans="1:11" x14ac:dyDescent="0.3">
      <c r="A32" s="10">
        <v>1031</v>
      </c>
      <c r="B32" s="2">
        <v>46091</v>
      </c>
      <c r="C32" s="37" t="s">
        <v>27</v>
      </c>
      <c r="D32" s="1" t="s">
        <v>10</v>
      </c>
      <c r="E32" s="1" t="s">
        <v>7</v>
      </c>
      <c r="F32" s="1" t="s">
        <v>8</v>
      </c>
      <c r="G32" s="1">
        <v>3</v>
      </c>
      <c r="H32" s="3">
        <v>5</v>
      </c>
      <c r="I32" s="1">
        <v>10</v>
      </c>
      <c r="J32" s="11">
        <v>13.5</v>
      </c>
      <c r="K32" s="67"/>
    </row>
    <row r="33" spans="1:11" x14ac:dyDescent="0.3">
      <c r="A33" s="10">
        <v>1032</v>
      </c>
      <c r="B33" s="2">
        <v>46094</v>
      </c>
      <c r="C33" s="37" t="s">
        <v>37</v>
      </c>
      <c r="D33" s="1" t="s">
        <v>10</v>
      </c>
      <c r="E33" s="1" t="s">
        <v>7</v>
      </c>
      <c r="F33" s="1" t="s">
        <v>8</v>
      </c>
      <c r="G33" s="1">
        <v>1</v>
      </c>
      <c r="H33" s="3">
        <v>50</v>
      </c>
      <c r="I33" s="1">
        <v>10</v>
      </c>
      <c r="J33" s="11">
        <v>45</v>
      </c>
      <c r="K33" s="67"/>
    </row>
    <row r="34" spans="1:11" x14ac:dyDescent="0.3">
      <c r="A34" s="10">
        <v>1033</v>
      </c>
      <c r="B34" s="2">
        <v>46057</v>
      </c>
      <c r="C34" s="37" t="s">
        <v>9</v>
      </c>
      <c r="D34" s="1" t="s">
        <v>10</v>
      </c>
      <c r="E34" s="1" t="s">
        <v>16</v>
      </c>
      <c r="F34" s="1" t="s">
        <v>20</v>
      </c>
      <c r="G34" s="1">
        <v>5</v>
      </c>
      <c r="H34" s="3">
        <v>10</v>
      </c>
      <c r="I34" s="1">
        <v>10</v>
      </c>
      <c r="J34" s="11">
        <v>45</v>
      </c>
      <c r="K34" s="67"/>
    </row>
    <row r="35" spans="1:11" x14ac:dyDescent="0.3">
      <c r="A35" s="10">
        <v>1034</v>
      </c>
      <c r="B35" s="2">
        <v>46028</v>
      </c>
      <c r="C35" s="37" t="s">
        <v>38</v>
      </c>
      <c r="D35" s="1" t="s">
        <v>6</v>
      </c>
      <c r="E35" s="1" t="s">
        <v>16</v>
      </c>
      <c r="F35" s="1" t="s">
        <v>17</v>
      </c>
      <c r="G35" s="1">
        <v>10</v>
      </c>
      <c r="H35" s="3">
        <v>5</v>
      </c>
      <c r="I35" s="1">
        <v>0</v>
      </c>
      <c r="J35" s="11">
        <v>50</v>
      </c>
      <c r="K35" s="67"/>
    </row>
    <row r="36" spans="1:11" x14ac:dyDescent="0.3">
      <c r="A36" s="10">
        <v>1035</v>
      </c>
      <c r="B36" s="2">
        <v>46201</v>
      </c>
      <c r="C36" s="37" t="s">
        <v>39</v>
      </c>
      <c r="D36" s="1" t="s">
        <v>14</v>
      </c>
      <c r="E36" s="1" t="s">
        <v>7</v>
      </c>
      <c r="F36" s="1" t="s">
        <v>21</v>
      </c>
      <c r="G36" s="1">
        <v>2</v>
      </c>
      <c r="H36" s="3">
        <v>10</v>
      </c>
      <c r="I36" s="1">
        <v>0</v>
      </c>
      <c r="J36" s="11">
        <v>20</v>
      </c>
      <c r="K36" s="67"/>
    </row>
    <row r="37" spans="1:11" x14ac:dyDescent="0.3">
      <c r="A37" s="10">
        <v>1036</v>
      </c>
      <c r="B37" s="2">
        <v>46161</v>
      </c>
      <c r="C37" s="37" t="s">
        <v>38</v>
      </c>
      <c r="D37" s="1" t="s">
        <v>14</v>
      </c>
      <c r="E37" s="1" t="s">
        <v>11</v>
      </c>
      <c r="F37" s="1" t="s">
        <v>12</v>
      </c>
      <c r="G37" s="1">
        <v>4</v>
      </c>
      <c r="H37" s="3">
        <v>10</v>
      </c>
      <c r="I37" s="1">
        <v>0</v>
      </c>
      <c r="J37" s="11">
        <v>40</v>
      </c>
      <c r="K37" s="67"/>
    </row>
    <row r="38" spans="1:11" x14ac:dyDescent="0.3">
      <c r="A38" s="10">
        <v>1037</v>
      </c>
      <c r="B38" s="2">
        <v>46080</v>
      </c>
      <c r="C38" s="37" t="s">
        <v>23</v>
      </c>
      <c r="D38" s="1" t="s">
        <v>14</v>
      </c>
      <c r="E38" s="1" t="s">
        <v>16</v>
      </c>
      <c r="F38" s="1" t="s">
        <v>17</v>
      </c>
      <c r="G38" s="1">
        <v>4</v>
      </c>
      <c r="H38" s="3">
        <v>10</v>
      </c>
      <c r="I38" s="1">
        <v>0</v>
      </c>
      <c r="J38" s="11">
        <v>40</v>
      </c>
      <c r="K38" s="67"/>
    </row>
    <row r="39" spans="1:11" x14ac:dyDescent="0.3">
      <c r="A39" s="10">
        <v>1038</v>
      </c>
      <c r="B39" s="2">
        <v>46138</v>
      </c>
      <c r="C39" s="37" t="s">
        <v>37</v>
      </c>
      <c r="D39" s="1" t="s">
        <v>14</v>
      </c>
      <c r="E39" s="1" t="s">
        <v>16</v>
      </c>
      <c r="F39" s="1" t="s">
        <v>17</v>
      </c>
      <c r="G39" s="1">
        <v>10</v>
      </c>
      <c r="H39" s="3">
        <v>50</v>
      </c>
      <c r="I39" s="1">
        <v>5</v>
      </c>
      <c r="J39" s="11">
        <v>475</v>
      </c>
      <c r="K39" s="67"/>
    </row>
    <row r="40" spans="1:11" x14ac:dyDescent="0.3">
      <c r="A40" s="10">
        <v>1039</v>
      </c>
      <c r="B40" s="2">
        <v>46146</v>
      </c>
      <c r="C40" s="37" t="s">
        <v>40</v>
      </c>
      <c r="D40" s="1" t="s">
        <v>14</v>
      </c>
      <c r="E40" s="1" t="s">
        <v>11</v>
      </c>
      <c r="F40" s="1" t="s">
        <v>12</v>
      </c>
      <c r="G40" s="1">
        <v>6</v>
      </c>
      <c r="H40" s="3">
        <v>10</v>
      </c>
      <c r="I40" s="1">
        <v>0</v>
      </c>
      <c r="J40" s="11">
        <v>60</v>
      </c>
      <c r="K40" s="67"/>
    </row>
    <row r="41" spans="1:11" x14ac:dyDescent="0.3">
      <c r="A41" s="10">
        <v>1040</v>
      </c>
      <c r="B41" s="2">
        <v>46039</v>
      </c>
      <c r="C41" s="37" t="s">
        <v>41</v>
      </c>
      <c r="D41" s="1" t="s">
        <v>14</v>
      </c>
      <c r="E41" s="1" t="s">
        <v>7</v>
      </c>
      <c r="F41" s="1" t="s">
        <v>21</v>
      </c>
      <c r="G41" s="1">
        <v>10</v>
      </c>
      <c r="H41" s="3">
        <v>50</v>
      </c>
      <c r="I41" s="1">
        <v>0</v>
      </c>
      <c r="J41" s="11">
        <v>500</v>
      </c>
      <c r="K41" s="67"/>
    </row>
    <row r="42" spans="1:11" x14ac:dyDescent="0.3">
      <c r="A42" s="10">
        <v>1041</v>
      </c>
      <c r="B42" s="2">
        <v>46135</v>
      </c>
      <c r="C42" s="37" t="s">
        <v>42</v>
      </c>
      <c r="D42" s="1" t="s">
        <v>15</v>
      </c>
      <c r="E42" s="1" t="s">
        <v>7</v>
      </c>
      <c r="F42" s="1" t="s">
        <v>21</v>
      </c>
      <c r="G42" s="1">
        <v>10</v>
      </c>
      <c r="H42" s="3">
        <v>50</v>
      </c>
      <c r="I42" s="1">
        <v>0</v>
      </c>
      <c r="J42" s="11">
        <v>500</v>
      </c>
      <c r="K42" s="67"/>
    </row>
    <row r="43" spans="1:11" x14ac:dyDescent="0.3">
      <c r="A43" s="10">
        <v>1042</v>
      </c>
      <c r="B43" s="2">
        <v>46079</v>
      </c>
      <c r="C43" s="37" t="s">
        <v>43</v>
      </c>
      <c r="D43" s="1" t="s">
        <v>10</v>
      </c>
      <c r="E43" s="1" t="s">
        <v>7</v>
      </c>
      <c r="F43" s="1" t="s">
        <v>8</v>
      </c>
      <c r="G43" s="1">
        <v>1</v>
      </c>
      <c r="H43" s="3">
        <v>5</v>
      </c>
      <c r="I43" s="1">
        <v>10</v>
      </c>
      <c r="J43" s="11">
        <v>4.5</v>
      </c>
      <c r="K43" s="67"/>
    </row>
    <row r="44" spans="1:11" x14ac:dyDescent="0.3">
      <c r="A44" s="10">
        <v>1043</v>
      </c>
      <c r="B44" s="2">
        <v>46072</v>
      </c>
      <c r="C44" s="37" t="s">
        <v>28</v>
      </c>
      <c r="D44" s="1" t="s">
        <v>6</v>
      </c>
      <c r="E44" s="1" t="s">
        <v>7</v>
      </c>
      <c r="F44" s="1" t="s">
        <v>21</v>
      </c>
      <c r="G44" s="1">
        <v>3</v>
      </c>
      <c r="H44" s="3">
        <v>10</v>
      </c>
      <c r="I44" s="1">
        <v>5</v>
      </c>
      <c r="J44" s="11">
        <v>28.5</v>
      </c>
      <c r="K44" s="67"/>
    </row>
    <row r="45" spans="1:11" x14ac:dyDescent="0.3">
      <c r="A45" s="10">
        <v>1044</v>
      </c>
      <c r="B45" s="2">
        <v>46118</v>
      </c>
      <c r="C45" s="37" t="s">
        <v>27</v>
      </c>
      <c r="D45" s="1" t="s">
        <v>14</v>
      </c>
      <c r="E45" s="1" t="s">
        <v>16</v>
      </c>
      <c r="F45" s="1" t="s">
        <v>20</v>
      </c>
      <c r="G45" s="1">
        <v>7</v>
      </c>
      <c r="H45" s="3">
        <v>50</v>
      </c>
      <c r="I45" s="1">
        <v>0</v>
      </c>
      <c r="J45" s="11">
        <v>350</v>
      </c>
      <c r="K45" s="67"/>
    </row>
    <row r="46" spans="1:11" x14ac:dyDescent="0.3">
      <c r="A46" s="10">
        <v>1045</v>
      </c>
      <c r="B46" s="2">
        <v>46192</v>
      </c>
      <c r="C46" s="37" t="s">
        <v>13</v>
      </c>
      <c r="D46" s="1" t="s">
        <v>14</v>
      </c>
      <c r="E46" s="1" t="s">
        <v>11</v>
      </c>
      <c r="F46" s="1" t="s">
        <v>12</v>
      </c>
      <c r="G46" s="1">
        <v>5</v>
      </c>
      <c r="H46" s="3">
        <v>100</v>
      </c>
      <c r="I46" s="1">
        <v>5</v>
      </c>
      <c r="J46" s="11">
        <v>475</v>
      </c>
      <c r="K46" s="67"/>
    </row>
    <row r="47" spans="1:11" x14ac:dyDescent="0.3">
      <c r="A47" s="10">
        <v>1046</v>
      </c>
      <c r="B47" s="2">
        <v>46177</v>
      </c>
      <c r="C47" s="37" t="s">
        <v>44</v>
      </c>
      <c r="D47" s="1" t="s">
        <v>15</v>
      </c>
      <c r="E47" s="1" t="s">
        <v>11</v>
      </c>
      <c r="F47" s="1" t="s">
        <v>12</v>
      </c>
      <c r="G47" s="1">
        <v>3</v>
      </c>
      <c r="H47" s="3">
        <v>10</v>
      </c>
      <c r="I47" s="1">
        <v>0</v>
      </c>
      <c r="J47" s="11">
        <v>30</v>
      </c>
      <c r="K47" s="67"/>
    </row>
    <row r="48" spans="1:11" x14ac:dyDescent="0.3">
      <c r="A48" s="10">
        <v>1047</v>
      </c>
      <c r="B48" s="2">
        <v>46062</v>
      </c>
      <c r="C48" s="37" t="s">
        <v>39</v>
      </c>
      <c r="D48" s="1" t="s">
        <v>10</v>
      </c>
      <c r="E48" s="1" t="s">
        <v>16</v>
      </c>
      <c r="F48" s="1" t="s">
        <v>20</v>
      </c>
      <c r="G48" s="1">
        <v>5</v>
      </c>
      <c r="H48" s="3">
        <v>20</v>
      </c>
      <c r="I48" s="1">
        <v>10</v>
      </c>
      <c r="J48" s="11">
        <v>90</v>
      </c>
      <c r="K48" s="67"/>
    </row>
    <row r="49" spans="1:11" x14ac:dyDescent="0.3">
      <c r="A49" s="10">
        <v>1048</v>
      </c>
      <c r="B49" s="2">
        <v>46139</v>
      </c>
      <c r="C49" s="37" t="s">
        <v>45</v>
      </c>
      <c r="D49" s="1" t="s">
        <v>10</v>
      </c>
      <c r="E49" s="1" t="s">
        <v>11</v>
      </c>
      <c r="F49" s="1" t="s">
        <v>12</v>
      </c>
      <c r="G49" s="1">
        <v>4</v>
      </c>
      <c r="H49" s="3">
        <v>50</v>
      </c>
      <c r="I49" s="1">
        <v>5</v>
      </c>
      <c r="J49" s="11">
        <v>190</v>
      </c>
      <c r="K49" s="67"/>
    </row>
    <row r="50" spans="1:11" x14ac:dyDescent="0.3">
      <c r="A50" s="10">
        <v>1049</v>
      </c>
      <c r="B50" s="2">
        <v>46114</v>
      </c>
      <c r="C50" s="37" t="s">
        <v>46</v>
      </c>
      <c r="D50" s="1" t="s">
        <v>14</v>
      </c>
      <c r="E50" s="1" t="s">
        <v>11</v>
      </c>
      <c r="F50" s="1" t="s">
        <v>12</v>
      </c>
      <c r="G50" s="1">
        <v>3</v>
      </c>
      <c r="H50" s="3">
        <v>20</v>
      </c>
      <c r="I50" s="1">
        <v>0</v>
      </c>
      <c r="J50" s="11">
        <v>60</v>
      </c>
      <c r="K50" s="67"/>
    </row>
    <row r="51" spans="1:11" x14ac:dyDescent="0.3">
      <c r="A51" s="10">
        <v>1050</v>
      </c>
      <c r="B51" s="2">
        <v>46198</v>
      </c>
      <c r="C51" s="37" t="s">
        <v>25</v>
      </c>
      <c r="D51" s="1" t="s">
        <v>15</v>
      </c>
      <c r="E51" s="1" t="s">
        <v>11</v>
      </c>
      <c r="F51" s="1" t="s">
        <v>12</v>
      </c>
      <c r="G51" s="1">
        <v>9</v>
      </c>
      <c r="H51" s="3">
        <v>10</v>
      </c>
      <c r="I51" s="1">
        <v>0</v>
      </c>
      <c r="J51" s="11">
        <v>90</v>
      </c>
      <c r="K51" s="67"/>
    </row>
    <row r="52" spans="1:11" x14ac:dyDescent="0.3">
      <c r="A52" s="10">
        <v>1051</v>
      </c>
      <c r="B52" s="2">
        <v>46057</v>
      </c>
      <c r="C52" s="37" t="s">
        <v>39</v>
      </c>
      <c r="D52" s="1" t="s">
        <v>14</v>
      </c>
      <c r="E52" s="1" t="s">
        <v>16</v>
      </c>
      <c r="F52" s="1" t="s">
        <v>17</v>
      </c>
      <c r="G52" s="1">
        <v>8</v>
      </c>
      <c r="H52" s="3">
        <v>50</v>
      </c>
      <c r="I52" s="1">
        <v>0</v>
      </c>
      <c r="J52" s="11">
        <v>400</v>
      </c>
      <c r="K52" s="67"/>
    </row>
    <row r="53" spans="1:11" x14ac:dyDescent="0.3">
      <c r="A53" s="10">
        <v>1052</v>
      </c>
      <c r="B53" s="2">
        <v>46074</v>
      </c>
      <c r="C53" s="37" t="s">
        <v>19</v>
      </c>
      <c r="D53" s="1" t="s">
        <v>10</v>
      </c>
      <c r="E53" s="1" t="s">
        <v>7</v>
      </c>
      <c r="F53" s="1" t="s">
        <v>21</v>
      </c>
      <c r="G53" s="1">
        <v>3</v>
      </c>
      <c r="H53" s="3">
        <v>20</v>
      </c>
      <c r="I53" s="1">
        <v>0</v>
      </c>
      <c r="J53" s="11">
        <v>60</v>
      </c>
      <c r="K53" s="67"/>
    </row>
    <row r="54" spans="1:11" x14ac:dyDescent="0.3">
      <c r="A54" s="10">
        <v>1053</v>
      </c>
      <c r="B54" s="2">
        <v>46125</v>
      </c>
      <c r="C54" s="37" t="s">
        <v>36</v>
      </c>
      <c r="D54" s="1" t="s">
        <v>15</v>
      </c>
      <c r="E54" s="1" t="s">
        <v>16</v>
      </c>
      <c r="F54" s="1" t="s">
        <v>20</v>
      </c>
      <c r="G54" s="1">
        <v>1</v>
      </c>
      <c r="H54" s="3">
        <v>50</v>
      </c>
      <c r="I54" s="1">
        <v>10</v>
      </c>
      <c r="J54" s="11">
        <v>45</v>
      </c>
      <c r="K54" s="67"/>
    </row>
    <row r="55" spans="1:11" x14ac:dyDescent="0.3">
      <c r="A55" s="10">
        <v>1054</v>
      </c>
      <c r="B55" s="2">
        <v>46161</v>
      </c>
      <c r="C55" s="37" t="s">
        <v>26</v>
      </c>
      <c r="D55" s="1" t="s">
        <v>15</v>
      </c>
      <c r="E55" s="1" t="s">
        <v>16</v>
      </c>
      <c r="F55" s="1" t="s">
        <v>20</v>
      </c>
      <c r="G55" s="1">
        <v>6</v>
      </c>
      <c r="H55" s="3">
        <v>20</v>
      </c>
      <c r="I55" s="1">
        <v>10</v>
      </c>
      <c r="J55" s="11">
        <v>108</v>
      </c>
      <c r="K55" s="67"/>
    </row>
    <row r="56" spans="1:11" x14ac:dyDescent="0.3">
      <c r="A56" s="10">
        <v>1055</v>
      </c>
      <c r="B56" s="2">
        <v>46066</v>
      </c>
      <c r="C56" s="37" t="s">
        <v>37</v>
      </c>
      <c r="D56" s="1" t="s">
        <v>10</v>
      </c>
      <c r="E56" s="1" t="s">
        <v>7</v>
      </c>
      <c r="F56" s="1" t="s">
        <v>8</v>
      </c>
      <c r="G56" s="1">
        <v>1</v>
      </c>
      <c r="H56" s="3">
        <v>10</v>
      </c>
      <c r="I56" s="1">
        <v>5</v>
      </c>
      <c r="J56" s="11">
        <v>9.5</v>
      </c>
      <c r="K56" s="67"/>
    </row>
    <row r="57" spans="1:11" x14ac:dyDescent="0.3">
      <c r="A57" s="10">
        <v>1056</v>
      </c>
      <c r="B57" s="2">
        <v>46177</v>
      </c>
      <c r="C57" s="37" t="s">
        <v>42</v>
      </c>
      <c r="D57" s="1" t="s">
        <v>14</v>
      </c>
      <c r="E57" s="1" t="s">
        <v>16</v>
      </c>
      <c r="F57" s="1" t="s">
        <v>17</v>
      </c>
      <c r="G57" s="1">
        <v>9</v>
      </c>
      <c r="H57" s="3">
        <v>100</v>
      </c>
      <c r="I57" s="1">
        <v>0</v>
      </c>
      <c r="J57" s="11">
        <v>900</v>
      </c>
      <c r="K57" s="67"/>
    </row>
    <row r="58" spans="1:11" x14ac:dyDescent="0.3">
      <c r="A58" s="10">
        <v>1057</v>
      </c>
      <c r="B58" s="2">
        <v>46068</v>
      </c>
      <c r="C58" s="37" t="s">
        <v>34</v>
      </c>
      <c r="D58" s="1" t="s">
        <v>15</v>
      </c>
      <c r="E58" s="1" t="s">
        <v>7</v>
      </c>
      <c r="F58" s="1" t="s">
        <v>21</v>
      </c>
      <c r="G58" s="1">
        <v>2</v>
      </c>
      <c r="H58" s="3">
        <v>50</v>
      </c>
      <c r="I58" s="1">
        <v>0</v>
      </c>
      <c r="J58" s="11">
        <v>100</v>
      </c>
      <c r="K58" s="67"/>
    </row>
    <row r="59" spans="1:11" x14ac:dyDescent="0.3">
      <c r="A59" s="10">
        <v>1058</v>
      </c>
      <c r="B59" s="2">
        <v>46071</v>
      </c>
      <c r="C59" s="37" t="s">
        <v>47</v>
      </c>
      <c r="D59" s="1" t="s">
        <v>15</v>
      </c>
      <c r="E59" s="1" t="s">
        <v>16</v>
      </c>
      <c r="F59" s="1" t="s">
        <v>20</v>
      </c>
      <c r="G59" s="1">
        <v>1</v>
      </c>
      <c r="H59" s="3">
        <v>20</v>
      </c>
      <c r="I59" s="1">
        <v>10</v>
      </c>
      <c r="J59" s="11">
        <v>18</v>
      </c>
      <c r="K59" s="67"/>
    </row>
    <row r="60" spans="1:11" x14ac:dyDescent="0.3">
      <c r="A60" s="10">
        <v>1059</v>
      </c>
      <c r="B60" s="2">
        <v>46040</v>
      </c>
      <c r="C60" s="37" t="s">
        <v>48</v>
      </c>
      <c r="D60" s="1" t="s">
        <v>10</v>
      </c>
      <c r="E60" s="1" t="s">
        <v>7</v>
      </c>
      <c r="F60" s="1" t="s">
        <v>21</v>
      </c>
      <c r="G60" s="1">
        <v>2</v>
      </c>
      <c r="H60" s="3">
        <v>50</v>
      </c>
      <c r="I60" s="1">
        <v>0</v>
      </c>
      <c r="J60" s="11">
        <v>100</v>
      </c>
      <c r="K60" s="67"/>
    </row>
    <row r="61" spans="1:11" x14ac:dyDescent="0.3">
      <c r="A61" s="10">
        <v>1060</v>
      </c>
      <c r="B61" s="2">
        <v>46200</v>
      </c>
      <c r="C61" s="37" t="s">
        <v>19</v>
      </c>
      <c r="D61" s="1" t="s">
        <v>14</v>
      </c>
      <c r="E61" s="1" t="s">
        <v>7</v>
      </c>
      <c r="F61" s="1" t="s">
        <v>21</v>
      </c>
      <c r="G61" s="1">
        <v>4</v>
      </c>
      <c r="H61" s="3">
        <v>5</v>
      </c>
      <c r="I61" s="1">
        <v>10</v>
      </c>
      <c r="J61" s="11">
        <v>18</v>
      </c>
      <c r="K61" s="67"/>
    </row>
    <row r="62" spans="1:11" x14ac:dyDescent="0.3">
      <c r="A62" s="10">
        <v>1061</v>
      </c>
      <c r="B62" s="2">
        <v>46116</v>
      </c>
      <c r="C62" s="37" t="s">
        <v>18</v>
      </c>
      <c r="D62" s="1" t="s">
        <v>10</v>
      </c>
      <c r="E62" s="1" t="s">
        <v>7</v>
      </c>
      <c r="F62" s="1" t="s">
        <v>21</v>
      </c>
      <c r="G62" s="1">
        <v>2</v>
      </c>
      <c r="H62" s="3">
        <v>5</v>
      </c>
      <c r="I62" s="1">
        <v>0</v>
      </c>
      <c r="J62" s="11">
        <v>10</v>
      </c>
      <c r="K62" s="67"/>
    </row>
    <row r="63" spans="1:11" x14ac:dyDescent="0.3">
      <c r="A63" s="10">
        <v>1062</v>
      </c>
      <c r="B63" s="2">
        <v>46032</v>
      </c>
      <c r="C63" s="37" t="s">
        <v>49</v>
      </c>
      <c r="D63" s="1" t="s">
        <v>10</v>
      </c>
      <c r="E63" s="1" t="s">
        <v>11</v>
      </c>
      <c r="F63" s="1" t="s">
        <v>12</v>
      </c>
      <c r="G63" s="1">
        <v>3</v>
      </c>
      <c r="H63" s="3">
        <v>20</v>
      </c>
      <c r="I63" s="1">
        <v>0</v>
      </c>
      <c r="J63" s="11">
        <v>60</v>
      </c>
      <c r="K63" s="67"/>
    </row>
    <row r="64" spans="1:11" x14ac:dyDescent="0.3">
      <c r="A64" s="10">
        <v>1063</v>
      </c>
      <c r="B64" s="2">
        <v>46078</v>
      </c>
      <c r="C64" s="37" t="s">
        <v>27</v>
      </c>
      <c r="D64" s="1" t="s">
        <v>15</v>
      </c>
      <c r="E64" s="1" t="s">
        <v>7</v>
      </c>
      <c r="F64" s="1" t="s">
        <v>21</v>
      </c>
      <c r="G64" s="1">
        <v>9</v>
      </c>
      <c r="H64" s="3">
        <v>50</v>
      </c>
      <c r="I64" s="1">
        <v>5</v>
      </c>
      <c r="J64" s="11">
        <v>427.5</v>
      </c>
      <c r="K64" s="67"/>
    </row>
    <row r="65" spans="1:11" x14ac:dyDescent="0.3">
      <c r="A65" s="10">
        <v>1064</v>
      </c>
      <c r="B65" s="2">
        <v>46068</v>
      </c>
      <c r="C65" s="37" t="s">
        <v>50</v>
      </c>
      <c r="D65" s="1" t="s">
        <v>14</v>
      </c>
      <c r="E65" s="1" t="s">
        <v>11</v>
      </c>
      <c r="F65" s="1" t="s">
        <v>12</v>
      </c>
      <c r="G65" s="1">
        <v>4</v>
      </c>
      <c r="H65" s="3">
        <v>5</v>
      </c>
      <c r="I65" s="1">
        <v>10</v>
      </c>
      <c r="J65" s="11">
        <v>18</v>
      </c>
      <c r="K65" s="67"/>
    </row>
    <row r="66" spans="1:11" x14ac:dyDescent="0.3">
      <c r="A66" s="10">
        <v>1065</v>
      </c>
      <c r="B66" s="2">
        <v>46136</v>
      </c>
      <c r="C66" s="37" t="s">
        <v>45</v>
      </c>
      <c r="D66" s="1" t="s">
        <v>14</v>
      </c>
      <c r="E66" s="1" t="s">
        <v>7</v>
      </c>
      <c r="F66" s="1" t="s">
        <v>8</v>
      </c>
      <c r="G66" s="1">
        <v>7</v>
      </c>
      <c r="H66" s="3">
        <v>10</v>
      </c>
      <c r="I66" s="1">
        <v>5</v>
      </c>
      <c r="J66" s="11">
        <v>66.5</v>
      </c>
      <c r="K66" s="67"/>
    </row>
    <row r="67" spans="1:11" x14ac:dyDescent="0.3">
      <c r="A67" s="10">
        <v>1066</v>
      </c>
      <c r="B67" s="2">
        <v>46050</v>
      </c>
      <c r="C67" s="37" t="s">
        <v>22</v>
      </c>
      <c r="D67" s="1" t="s">
        <v>10</v>
      </c>
      <c r="E67" s="1" t="s">
        <v>11</v>
      </c>
      <c r="F67" s="1" t="s">
        <v>12</v>
      </c>
      <c r="G67" s="1">
        <v>1</v>
      </c>
      <c r="H67" s="3">
        <v>20</v>
      </c>
      <c r="I67" s="1">
        <v>10</v>
      </c>
      <c r="J67" s="11">
        <v>18</v>
      </c>
      <c r="K67" s="67"/>
    </row>
    <row r="68" spans="1:11" x14ac:dyDescent="0.3">
      <c r="A68" s="10">
        <v>1067</v>
      </c>
      <c r="B68" s="2">
        <v>46078</v>
      </c>
      <c r="C68" s="37" t="s">
        <v>51</v>
      </c>
      <c r="D68" s="1" t="s">
        <v>15</v>
      </c>
      <c r="E68" s="1" t="s">
        <v>16</v>
      </c>
      <c r="F68" s="1" t="s">
        <v>17</v>
      </c>
      <c r="G68" s="1">
        <v>2</v>
      </c>
      <c r="H68" s="3">
        <v>10</v>
      </c>
      <c r="I68" s="1">
        <v>10</v>
      </c>
      <c r="J68" s="11">
        <v>18</v>
      </c>
      <c r="K68" s="67"/>
    </row>
    <row r="69" spans="1:11" x14ac:dyDescent="0.3">
      <c r="A69" s="10">
        <v>1068</v>
      </c>
      <c r="B69" s="2">
        <v>46080</v>
      </c>
      <c r="C69" s="37" t="s">
        <v>9</v>
      </c>
      <c r="D69" s="1" t="s">
        <v>15</v>
      </c>
      <c r="E69" s="1" t="s">
        <v>7</v>
      </c>
      <c r="F69" s="1" t="s">
        <v>21</v>
      </c>
      <c r="G69" s="1">
        <v>3</v>
      </c>
      <c r="H69" s="3">
        <v>10</v>
      </c>
      <c r="I69" s="1">
        <v>0</v>
      </c>
      <c r="J69" s="11">
        <v>30</v>
      </c>
      <c r="K69" s="67"/>
    </row>
    <row r="70" spans="1:11" x14ac:dyDescent="0.3">
      <c r="A70" s="10">
        <v>1069</v>
      </c>
      <c r="B70" s="2">
        <v>46026</v>
      </c>
      <c r="C70" s="37" t="s">
        <v>24</v>
      </c>
      <c r="D70" s="1" t="s">
        <v>14</v>
      </c>
      <c r="E70" s="1" t="s">
        <v>16</v>
      </c>
      <c r="F70" s="1" t="s">
        <v>20</v>
      </c>
      <c r="G70" s="1">
        <v>2</v>
      </c>
      <c r="H70" s="3">
        <v>5</v>
      </c>
      <c r="I70" s="1">
        <v>5</v>
      </c>
      <c r="J70" s="11">
        <v>9.5</v>
      </c>
      <c r="K70" s="67"/>
    </row>
    <row r="71" spans="1:11" x14ac:dyDescent="0.3">
      <c r="A71" s="10">
        <v>1070</v>
      </c>
      <c r="B71" s="2">
        <v>46162</v>
      </c>
      <c r="C71" s="37" t="s">
        <v>40</v>
      </c>
      <c r="D71" s="1" t="s">
        <v>6</v>
      </c>
      <c r="E71" s="1" t="s">
        <v>7</v>
      </c>
      <c r="F71" s="1" t="s">
        <v>8</v>
      </c>
      <c r="G71" s="1">
        <v>4</v>
      </c>
      <c r="H71" s="3">
        <v>100</v>
      </c>
      <c r="I71" s="1">
        <v>5</v>
      </c>
      <c r="J71" s="11">
        <v>380</v>
      </c>
      <c r="K71" s="67"/>
    </row>
    <row r="72" spans="1:11" x14ac:dyDescent="0.3">
      <c r="A72" s="10">
        <v>1071</v>
      </c>
      <c r="B72" s="2">
        <v>46100</v>
      </c>
      <c r="C72" s="37" t="s">
        <v>9</v>
      </c>
      <c r="D72" s="1" t="s">
        <v>6</v>
      </c>
      <c r="E72" s="1" t="s">
        <v>16</v>
      </c>
      <c r="F72" s="1" t="s">
        <v>20</v>
      </c>
      <c r="G72" s="1">
        <v>1</v>
      </c>
      <c r="H72" s="3">
        <v>20</v>
      </c>
      <c r="I72" s="1">
        <v>0</v>
      </c>
      <c r="J72" s="11">
        <v>20</v>
      </c>
      <c r="K72" s="67"/>
    </row>
    <row r="73" spans="1:11" x14ac:dyDescent="0.3">
      <c r="A73" s="10">
        <v>1072</v>
      </c>
      <c r="B73" s="2">
        <v>46049</v>
      </c>
      <c r="C73" s="37" t="s">
        <v>43</v>
      </c>
      <c r="D73" s="1" t="s">
        <v>6</v>
      </c>
      <c r="E73" s="1" t="s">
        <v>16</v>
      </c>
      <c r="F73" s="1" t="s">
        <v>20</v>
      </c>
      <c r="G73" s="1">
        <v>4</v>
      </c>
      <c r="H73" s="3">
        <v>10</v>
      </c>
      <c r="I73" s="1">
        <v>0</v>
      </c>
      <c r="J73" s="11">
        <v>40</v>
      </c>
      <c r="K73" s="67"/>
    </row>
    <row r="74" spans="1:11" x14ac:dyDescent="0.3">
      <c r="A74" s="10">
        <v>1073</v>
      </c>
      <c r="B74" s="2">
        <v>46089</v>
      </c>
      <c r="C74" s="37" t="s">
        <v>5</v>
      </c>
      <c r="D74" s="1" t="s">
        <v>6</v>
      </c>
      <c r="E74" s="1" t="s">
        <v>7</v>
      </c>
      <c r="F74" s="1" t="s">
        <v>8</v>
      </c>
      <c r="G74" s="1">
        <v>6</v>
      </c>
      <c r="H74" s="3">
        <v>100</v>
      </c>
      <c r="I74" s="1">
        <v>0</v>
      </c>
      <c r="J74" s="11">
        <v>600</v>
      </c>
      <c r="K74" s="67"/>
    </row>
    <row r="75" spans="1:11" x14ac:dyDescent="0.3">
      <c r="A75" s="10">
        <v>1074</v>
      </c>
      <c r="B75" s="2">
        <v>46033</v>
      </c>
      <c r="C75" s="37" t="s">
        <v>46</v>
      </c>
      <c r="D75" s="1" t="s">
        <v>14</v>
      </c>
      <c r="E75" s="1" t="s">
        <v>11</v>
      </c>
      <c r="F75" s="1" t="s">
        <v>12</v>
      </c>
      <c r="G75" s="1">
        <v>1</v>
      </c>
      <c r="H75" s="3">
        <v>10</v>
      </c>
      <c r="I75" s="1">
        <v>0</v>
      </c>
      <c r="J75" s="11">
        <v>10</v>
      </c>
      <c r="K75" s="67"/>
    </row>
    <row r="76" spans="1:11" x14ac:dyDescent="0.3">
      <c r="A76" s="10">
        <v>1075</v>
      </c>
      <c r="B76" s="2">
        <v>46162</v>
      </c>
      <c r="C76" s="37" t="s">
        <v>52</v>
      </c>
      <c r="D76" s="1" t="s">
        <v>10</v>
      </c>
      <c r="E76" s="1" t="s">
        <v>7</v>
      </c>
      <c r="F76" s="1" t="s">
        <v>21</v>
      </c>
      <c r="G76" s="1">
        <v>9</v>
      </c>
      <c r="H76" s="3">
        <v>100</v>
      </c>
      <c r="I76" s="1">
        <v>10</v>
      </c>
      <c r="J76" s="11">
        <v>810</v>
      </c>
      <c r="K76" s="67"/>
    </row>
    <row r="77" spans="1:11" x14ac:dyDescent="0.3">
      <c r="A77" s="10">
        <v>1076</v>
      </c>
      <c r="B77" s="2">
        <v>46070</v>
      </c>
      <c r="C77" s="37" t="s">
        <v>37</v>
      </c>
      <c r="D77" s="1" t="s">
        <v>10</v>
      </c>
      <c r="E77" s="1" t="s">
        <v>7</v>
      </c>
      <c r="F77" s="1" t="s">
        <v>8</v>
      </c>
      <c r="G77" s="1">
        <v>4</v>
      </c>
      <c r="H77" s="3">
        <v>10</v>
      </c>
      <c r="I77" s="1">
        <v>0</v>
      </c>
      <c r="J77" s="11">
        <v>40</v>
      </c>
      <c r="K77" s="67"/>
    </row>
    <row r="78" spans="1:11" x14ac:dyDescent="0.3">
      <c r="A78" s="10">
        <v>1077</v>
      </c>
      <c r="B78" s="2">
        <v>46158</v>
      </c>
      <c r="C78" s="37" t="s">
        <v>34</v>
      </c>
      <c r="D78" s="1" t="s">
        <v>10</v>
      </c>
      <c r="E78" s="1" t="s">
        <v>11</v>
      </c>
      <c r="F78" s="1" t="s">
        <v>12</v>
      </c>
      <c r="G78" s="1">
        <v>4</v>
      </c>
      <c r="H78" s="3">
        <v>100</v>
      </c>
      <c r="I78" s="1">
        <v>0</v>
      </c>
      <c r="J78" s="11">
        <v>400</v>
      </c>
      <c r="K78" s="67"/>
    </row>
    <row r="79" spans="1:11" x14ac:dyDescent="0.3">
      <c r="A79" s="10">
        <v>1078</v>
      </c>
      <c r="B79" s="2">
        <v>46095</v>
      </c>
      <c r="C79" s="37" t="s">
        <v>53</v>
      </c>
      <c r="D79" s="1" t="s">
        <v>10</v>
      </c>
      <c r="E79" s="1" t="s">
        <v>11</v>
      </c>
      <c r="F79" s="1" t="s">
        <v>12</v>
      </c>
      <c r="G79" s="1">
        <v>2</v>
      </c>
      <c r="H79" s="3">
        <v>50</v>
      </c>
      <c r="I79" s="1">
        <v>5</v>
      </c>
      <c r="J79" s="11">
        <v>95</v>
      </c>
      <c r="K79" s="67"/>
    </row>
    <row r="80" spans="1:11" x14ac:dyDescent="0.3">
      <c r="A80" s="10">
        <v>1079</v>
      </c>
      <c r="B80" s="2">
        <v>46151</v>
      </c>
      <c r="C80" s="37" t="s">
        <v>51</v>
      </c>
      <c r="D80" s="1" t="s">
        <v>10</v>
      </c>
      <c r="E80" s="1" t="s">
        <v>16</v>
      </c>
      <c r="F80" s="1" t="s">
        <v>20</v>
      </c>
      <c r="G80" s="1">
        <v>10</v>
      </c>
      <c r="H80" s="3">
        <v>100</v>
      </c>
      <c r="I80" s="1">
        <v>5</v>
      </c>
      <c r="J80" s="11">
        <v>950</v>
      </c>
      <c r="K80" s="67"/>
    </row>
    <row r="81" spans="1:11" x14ac:dyDescent="0.3">
      <c r="A81" s="10">
        <v>1080</v>
      </c>
      <c r="B81" s="2">
        <v>46056</v>
      </c>
      <c r="C81" s="37" t="s">
        <v>48</v>
      </c>
      <c r="D81" s="1" t="s">
        <v>14</v>
      </c>
      <c r="E81" s="1" t="s">
        <v>11</v>
      </c>
      <c r="F81" s="1" t="s">
        <v>12</v>
      </c>
      <c r="G81" s="1">
        <v>9</v>
      </c>
      <c r="H81" s="3">
        <v>100</v>
      </c>
      <c r="I81" s="1">
        <v>10</v>
      </c>
      <c r="J81" s="11">
        <v>810</v>
      </c>
      <c r="K81" s="67"/>
    </row>
    <row r="82" spans="1:11" x14ac:dyDescent="0.3">
      <c r="A82" s="10">
        <v>1081</v>
      </c>
      <c r="B82" s="2">
        <v>46149</v>
      </c>
      <c r="C82" s="37" t="s">
        <v>18</v>
      </c>
      <c r="D82" s="1" t="s">
        <v>14</v>
      </c>
      <c r="E82" s="1" t="s">
        <v>7</v>
      </c>
      <c r="F82" s="1" t="s">
        <v>21</v>
      </c>
      <c r="G82" s="1">
        <v>9</v>
      </c>
      <c r="H82" s="3">
        <v>20</v>
      </c>
      <c r="I82" s="1">
        <v>10</v>
      </c>
      <c r="J82" s="11">
        <v>162</v>
      </c>
      <c r="K82" s="67"/>
    </row>
    <row r="83" spans="1:11" x14ac:dyDescent="0.3">
      <c r="A83" s="10">
        <v>1082</v>
      </c>
      <c r="B83" s="2">
        <v>46090</v>
      </c>
      <c r="C83" s="37" t="s">
        <v>53</v>
      </c>
      <c r="D83" s="1" t="s">
        <v>6</v>
      </c>
      <c r="E83" s="1" t="s">
        <v>7</v>
      </c>
      <c r="F83" s="1" t="s">
        <v>21</v>
      </c>
      <c r="G83" s="1">
        <v>1</v>
      </c>
      <c r="H83" s="3">
        <v>5</v>
      </c>
      <c r="I83" s="1">
        <v>5</v>
      </c>
      <c r="J83" s="11">
        <v>4.75</v>
      </c>
      <c r="K83" s="67"/>
    </row>
    <row r="84" spans="1:11" x14ac:dyDescent="0.3">
      <c r="A84" s="10">
        <v>1083</v>
      </c>
      <c r="B84" s="2">
        <v>46163</v>
      </c>
      <c r="C84" s="37" t="s">
        <v>18</v>
      </c>
      <c r="D84" s="1" t="s">
        <v>14</v>
      </c>
      <c r="E84" s="1" t="s">
        <v>16</v>
      </c>
      <c r="F84" s="1" t="s">
        <v>20</v>
      </c>
      <c r="G84" s="1">
        <v>3</v>
      </c>
      <c r="H84" s="3">
        <v>5</v>
      </c>
      <c r="I84" s="1">
        <v>10</v>
      </c>
      <c r="J84" s="11">
        <v>13.5</v>
      </c>
      <c r="K84" s="67"/>
    </row>
    <row r="85" spans="1:11" x14ac:dyDescent="0.3">
      <c r="A85" s="10">
        <v>1084</v>
      </c>
      <c r="B85" s="2">
        <v>46066</v>
      </c>
      <c r="C85" s="37" t="s">
        <v>53</v>
      </c>
      <c r="D85" s="1" t="s">
        <v>6</v>
      </c>
      <c r="E85" s="1" t="s">
        <v>7</v>
      </c>
      <c r="F85" s="1" t="s">
        <v>21</v>
      </c>
      <c r="G85" s="1">
        <v>4</v>
      </c>
      <c r="H85" s="3">
        <v>5</v>
      </c>
      <c r="I85" s="1">
        <v>5</v>
      </c>
      <c r="J85" s="11">
        <v>19</v>
      </c>
      <c r="K85" s="67"/>
    </row>
    <row r="86" spans="1:11" x14ac:dyDescent="0.3">
      <c r="A86" s="10">
        <v>1085</v>
      </c>
      <c r="B86" s="2">
        <v>46108</v>
      </c>
      <c r="C86" s="37" t="s">
        <v>51</v>
      </c>
      <c r="D86" s="1" t="s">
        <v>15</v>
      </c>
      <c r="E86" s="1" t="s">
        <v>11</v>
      </c>
      <c r="F86" s="1" t="s">
        <v>12</v>
      </c>
      <c r="G86" s="1">
        <v>3</v>
      </c>
      <c r="H86" s="3">
        <v>20</v>
      </c>
      <c r="I86" s="1">
        <v>0</v>
      </c>
      <c r="J86" s="11">
        <v>60</v>
      </c>
      <c r="K86" s="67"/>
    </row>
    <row r="87" spans="1:11" x14ac:dyDescent="0.3">
      <c r="A87" s="10">
        <v>1086</v>
      </c>
      <c r="B87" s="2">
        <v>46107</v>
      </c>
      <c r="C87" s="37" t="s">
        <v>26</v>
      </c>
      <c r="D87" s="1" t="s">
        <v>15</v>
      </c>
      <c r="E87" s="1" t="s">
        <v>7</v>
      </c>
      <c r="F87" s="1" t="s">
        <v>8</v>
      </c>
      <c r="G87" s="1">
        <v>9</v>
      </c>
      <c r="H87" s="3">
        <v>20</v>
      </c>
      <c r="I87" s="1">
        <v>0</v>
      </c>
      <c r="J87" s="11">
        <v>180</v>
      </c>
      <c r="K87" s="67"/>
    </row>
    <row r="88" spans="1:11" x14ac:dyDescent="0.3">
      <c r="A88" s="10">
        <v>1087</v>
      </c>
      <c r="B88" s="2">
        <v>46145</v>
      </c>
      <c r="C88" s="37" t="s">
        <v>19</v>
      </c>
      <c r="D88" s="1" t="s">
        <v>15</v>
      </c>
      <c r="E88" s="1" t="s">
        <v>7</v>
      </c>
      <c r="F88" s="1" t="s">
        <v>8</v>
      </c>
      <c r="G88" s="1">
        <v>5</v>
      </c>
      <c r="H88" s="3">
        <v>5</v>
      </c>
      <c r="I88" s="1">
        <v>5</v>
      </c>
      <c r="J88" s="11">
        <v>23.75</v>
      </c>
      <c r="K88" s="67"/>
    </row>
    <row r="89" spans="1:11" x14ac:dyDescent="0.3">
      <c r="A89" s="10">
        <v>1088</v>
      </c>
      <c r="B89" s="2">
        <v>46073</v>
      </c>
      <c r="C89" s="37" t="s">
        <v>9</v>
      </c>
      <c r="D89" s="1" t="s">
        <v>15</v>
      </c>
      <c r="E89" s="1" t="s">
        <v>7</v>
      </c>
      <c r="F89" s="1" t="s">
        <v>21</v>
      </c>
      <c r="G89" s="1">
        <v>4</v>
      </c>
      <c r="H89" s="3">
        <v>5</v>
      </c>
      <c r="I89" s="1">
        <v>10</v>
      </c>
      <c r="J89" s="11">
        <v>18</v>
      </c>
      <c r="K89" s="67"/>
    </row>
    <row r="90" spans="1:11" x14ac:dyDescent="0.3">
      <c r="A90" s="10">
        <v>1089</v>
      </c>
      <c r="B90" s="2">
        <v>46068</v>
      </c>
      <c r="C90" s="37" t="s">
        <v>46</v>
      </c>
      <c r="D90" s="1" t="s">
        <v>14</v>
      </c>
      <c r="E90" s="1" t="s">
        <v>11</v>
      </c>
      <c r="F90" s="1" t="s">
        <v>12</v>
      </c>
      <c r="G90" s="1">
        <v>2</v>
      </c>
      <c r="H90" s="3">
        <v>50</v>
      </c>
      <c r="I90" s="1">
        <v>10</v>
      </c>
      <c r="J90" s="11">
        <v>90</v>
      </c>
      <c r="K90" s="67"/>
    </row>
    <row r="91" spans="1:11" x14ac:dyDescent="0.3">
      <c r="A91" s="10">
        <v>1090</v>
      </c>
      <c r="B91" s="2">
        <v>46109</v>
      </c>
      <c r="C91" s="37" t="s">
        <v>26</v>
      </c>
      <c r="D91" s="1" t="s">
        <v>15</v>
      </c>
      <c r="E91" s="1" t="s">
        <v>16</v>
      </c>
      <c r="F91" s="1" t="s">
        <v>17</v>
      </c>
      <c r="G91" s="1">
        <v>8</v>
      </c>
      <c r="H91" s="3">
        <v>100</v>
      </c>
      <c r="I91" s="1">
        <v>10</v>
      </c>
      <c r="J91" s="11">
        <v>720</v>
      </c>
      <c r="K91" s="67"/>
    </row>
    <row r="92" spans="1:11" x14ac:dyDescent="0.3">
      <c r="A92" s="10">
        <v>1091</v>
      </c>
      <c r="B92" s="2">
        <v>46181</v>
      </c>
      <c r="C92" s="37" t="s">
        <v>51</v>
      </c>
      <c r="D92" s="1" t="s">
        <v>6</v>
      </c>
      <c r="E92" s="1" t="s">
        <v>11</v>
      </c>
      <c r="F92" s="1" t="s">
        <v>12</v>
      </c>
      <c r="G92" s="1">
        <v>9</v>
      </c>
      <c r="H92" s="3">
        <v>20</v>
      </c>
      <c r="I92" s="1">
        <v>10</v>
      </c>
      <c r="J92" s="11">
        <v>162</v>
      </c>
      <c r="K92" s="67"/>
    </row>
    <row r="93" spans="1:11" x14ac:dyDescent="0.3">
      <c r="A93" s="10">
        <v>1092</v>
      </c>
      <c r="B93" s="2">
        <v>46145</v>
      </c>
      <c r="C93" s="37" t="s">
        <v>26</v>
      </c>
      <c r="D93" s="1" t="s">
        <v>10</v>
      </c>
      <c r="E93" s="1" t="s">
        <v>16</v>
      </c>
      <c r="F93" s="1" t="s">
        <v>20</v>
      </c>
      <c r="G93" s="1">
        <v>2</v>
      </c>
      <c r="H93" s="3">
        <v>5</v>
      </c>
      <c r="I93" s="1">
        <v>10</v>
      </c>
      <c r="J93" s="11">
        <v>9</v>
      </c>
      <c r="K93" s="67"/>
    </row>
    <row r="94" spans="1:11" x14ac:dyDescent="0.3">
      <c r="A94" s="10">
        <v>1093</v>
      </c>
      <c r="B94" s="2">
        <v>46189</v>
      </c>
      <c r="C94" s="37" t="s">
        <v>5</v>
      </c>
      <c r="D94" s="1" t="s">
        <v>15</v>
      </c>
      <c r="E94" s="1" t="s">
        <v>16</v>
      </c>
      <c r="F94" s="1" t="s">
        <v>17</v>
      </c>
      <c r="G94" s="1">
        <v>7</v>
      </c>
      <c r="H94" s="3">
        <v>20</v>
      </c>
      <c r="I94" s="1">
        <v>0</v>
      </c>
      <c r="J94" s="11">
        <v>140</v>
      </c>
      <c r="K94" s="67"/>
    </row>
    <row r="95" spans="1:11" x14ac:dyDescent="0.3">
      <c r="A95" s="10">
        <v>1094</v>
      </c>
      <c r="B95" s="2">
        <v>46163</v>
      </c>
      <c r="C95" s="37" t="s">
        <v>19</v>
      </c>
      <c r="D95" s="1" t="s">
        <v>6</v>
      </c>
      <c r="E95" s="1" t="s">
        <v>7</v>
      </c>
      <c r="F95" s="1" t="s">
        <v>21</v>
      </c>
      <c r="G95" s="1">
        <v>1</v>
      </c>
      <c r="H95" s="3">
        <v>10</v>
      </c>
      <c r="I95" s="1">
        <v>5</v>
      </c>
      <c r="J95" s="11">
        <v>9.5</v>
      </c>
      <c r="K95" s="67"/>
    </row>
    <row r="96" spans="1:11" x14ac:dyDescent="0.3">
      <c r="A96" s="10">
        <v>1095</v>
      </c>
      <c r="B96" s="2">
        <v>46107</v>
      </c>
      <c r="C96" s="37" t="s">
        <v>38</v>
      </c>
      <c r="D96" s="1" t="s">
        <v>14</v>
      </c>
      <c r="E96" s="1" t="s">
        <v>16</v>
      </c>
      <c r="F96" s="1" t="s">
        <v>20</v>
      </c>
      <c r="G96" s="1">
        <v>7</v>
      </c>
      <c r="H96" s="3">
        <v>5</v>
      </c>
      <c r="I96" s="1">
        <v>5</v>
      </c>
      <c r="J96" s="11">
        <v>33.25</v>
      </c>
      <c r="K96" s="67"/>
    </row>
    <row r="97" spans="1:11" x14ac:dyDescent="0.3">
      <c r="A97" s="10">
        <v>1096</v>
      </c>
      <c r="B97" s="2">
        <v>46136</v>
      </c>
      <c r="C97" s="37" t="s">
        <v>47</v>
      </c>
      <c r="D97" s="1" t="s">
        <v>15</v>
      </c>
      <c r="E97" s="1" t="s">
        <v>7</v>
      </c>
      <c r="F97" s="1" t="s">
        <v>21</v>
      </c>
      <c r="G97" s="1">
        <v>8</v>
      </c>
      <c r="H97" s="3">
        <v>20</v>
      </c>
      <c r="I97" s="1">
        <v>0</v>
      </c>
      <c r="J97" s="11">
        <v>160</v>
      </c>
      <c r="K97" s="67"/>
    </row>
    <row r="98" spans="1:11" x14ac:dyDescent="0.3">
      <c r="A98" s="10">
        <v>1097</v>
      </c>
      <c r="B98" s="2">
        <v>46123</v>
      </c>
      <c r="C98" s="37" t="s">
        <v>30</v>
      </c>
      <c r="D98" s="1" t="s">
        <v>10</v>
      </c>
      <c r="E98" s="1" t="s">
        <v>16</v>
      </c>
      <c r="F98" s="1" t="s">
        <v>17</v>
      </c>
      <c r="G98" s="1">
        <v>2</v>
      </c>
      <c r="H98" s="3">
        <v>20</v>
      </c>
      <c r="I98" s="1">
        <v>0</v>
      </c>
      <c r="J98" s="11">
        <v>40</v>
      </c>
      <c r="K98" s="67"/>
    </row>
    <row r="99" spans="1:11" x14ac:dyDescent="0.3">
      <c r="A99" s="10">
        <v>1098</v>
      </c>
      <c r="B99" s="2">
        <v>46093</v>
      </c>
      <c r="C99" s="37" t="s">
        <v>54</v>
      </c>
      <c r="D99" s="1" t="s">
        <v>14</v>
      </c>
      <c r="E99" s="1" t="s">
        <v>7</v>
      </c>
      <c r="F99" s="1" t="s">
        <v>21</v>
      </c>
      <c r="G99" s="1">
        <v>2</v>
      </c>
      <c r="H99" s="3">
        <v>100</v>
      </c>
      <c r="I99" s="1">
        <v>0</v>
      </c>
      <c r="J99" s="11">
        <v>200</v>
      </c>
      <c r="K99" s="67"/>
    </row>
    <row r="100" spans="1:11" x14ac:dyDescent="0.3">
      <c r="A100" s="10">
        <v>1099</v>
      </c>
      <c r="B100" s="2">
        <v>46149</v>
      </c>
      <c r="C100" s="37" t="s">
        <v>27</v>
      </c>
      <c r="D100" s="1" t="s">
        <v>10</v>
      </c>
      <c r="E100" s="1" t="s">
        <v>7</v>
      </c>
      <c r="F100" s="1" t="s">
        <v>8</v>
      </c>
      <c r="G100" s="1">
        <v>10</v>
      </c>
      <c r="H100" s="3">
        <v>100</v>
      </c>
      <c r="I100" s="1">
        <v>0</v>
      </c>
      <c r="J100" s="11">
        <v>1000</v>
      </c>
      <c r="K100" s="67"/>
    </row>
    <row r="101" spans="1:11" x14ac:dyDescent="0.3">
      <c r="A101" s="10">
        <v>1100</v>
      </c>
      <c r="B101" s="2">
        <v>46170</v>
      </c>
      <c r="C101" s="37" t="s">
        <v>34</v>
      </c>
      <c r="D101" s="1" t="s">
        <v>6</v>
      </c>
      <c r="E101" s="1" t="s">
        <v>7</v>
      </c>
      <c r="F101" s="1" t="s">
        <v>8</v>
      </c>
      <c r="G101" s="1">
        <v>4</v>
      </c>
      <c r="H101" s="3">
        <v>100</v>
      </c>
      <c r="I101" s="1">
        <v>10</v>
      </c>
      <c r="J101" s="11">
        <v>360</v>
      </c>
      <c r="K101" s="67"/>
    </row>
    <row r="102" spans="1:11" x14ac:dyDescent="0.3">
      <c r="A102" s="10">
        <v>1101</v>
      </c>
      <c r="B102" s="2">
        <v>46158</v>
      </c>
      <c r="C102" s="37" t="s">
        <v>36</v>
      </c>
      <c r="D102" s="1" t="s">
        <v>15</v>
      </c>
      <c r="E102" s="1" t="s">
        <v>11</v>
      </c>
      <c r="F102" s="1" t="s">
        <v>12</v>
      </c>
      <c r="G102" s="1">
        <v>9</v>
      </c>
      <c r="H102" s="3">
        <v>20</v>
      </c>
      <c r="I102" s="1">
        <v>0</v>
      </c>
      <c r="J102" s="11">
        <v>180</v>
      </c>
      <c r="K102" s="67"/>
    </row>
    <row r="103" spans="1:11" x14ac:dyDescent="0.3">
      <c r="A103" s="10">
        <v>1102</v>
      </c>
      <c r="B103" s="2">
        <v>46103</v>
      </c>
      <c r="C103" s="37" t="s">
        <v>37</v>
      </c>
      <c r="D103" s="1" t="s">
        <v>6</v>
      </c>
      <c r="E103" s="1" t="s">
        <v>7</v>
      </c>
      <c r="F103" s="1" t="s">
        <v>8</v>
      </c>
      <c r="G103" s="1">
        <v>10</v>
      </c>
      <c r="H103" s="3">
        <v>10</v>
      </c>
      <c r="I103" s="1">
        <v>0</v>
      </c>
      <c r="J103" s="11">
        <v>100</v>
      </c>
      <c r="K103" s="67"/>
    </row>
    <row r="104" spans="1:11" x14ac:dyDescent="0.3">
      <c r="A104" s="10">
        <v>1103</v>
      </c>
      <c r="B104" s="2">
        <v>46047</v>
      </c>
      <c r="C104" s="37" t="s">
        <v>39</v>
      </c>
      <c r="D104" s="1" t="s">
        <v>15</v>
      </c>
      <c r="E104" s="1" t="s">
        <v>16</v>
      </c>
      <c r="F104" s="1" t="s">
        <v>17</v>
      </c>
      <c r="G104" s="1">
        <v>1</v>
      </c>
      <c r="H104" s="3">
        <v>5</v>
      </c>
      <c r="I104" s="1">
        <v>5</v>
      </c>
      <c r="J104" s="11">
        <v>4.75</v>
      </c>
      <c r="K104" s="67"/>
    </row>
    <row r="105" spans="1:11" x14ac:dyDescent="0.3">
      <c r="A105" s="10">
        <v>1104</v>
      </c>
      <c r="B105" s="2">
        <v>46196</v>
      </c>
      <c r="C105" s="37" t="s">
        <v>25</v>
      </c>
      <c r="D105" s="1" t="s">
        <v>14</v>
      </c>
      <c r="E105" s="1" t="s">
        <v>7</v>
      </c>
      <c r="F105" s="1" t="s">
        <v>21</v>
      </c>
      <c r="G105" s="1">
        <v>8</v>
      </c>
      <c r="H105" s="3">
        <v>50</v>
      </c>
      <c r="I105" s="1">
        <v>10</v>
      </c>
      <c r="J105" s="11">
        <v>360</v>
      </c>
      <c r="K105" s="67"/>
    </row>
    <row r="106" spans="1:11" x14ac:dyDescent="0.3">
      <c r="A106" s="10">
        <v>1105</v>
      </c>
      <c r="B106" s="2">
        <v>46187</v>
      </c>
      <c r="C106" s="37" t="s">
        <v>43</v>
      </c>
      <c r="D106" s="1" t="s">
        <v>15</v>
      </c>
      <c r="E106" s="1" t="s">
        <v>11</v>
      </c>
      <c r="F106" s="1" t="s">
        <v>12</v>
      </c>
      <c r="G106" s="1">
        <v>9</v>
      </c>
      <c r="H106" s="3">
        <v>10</v>
      </c>
      <c r="I106" s="1">
        <v>0</v>
      </c>
      <c r="J106" s="11">
        <v>90</v>
      </c>
      <c r="K106" s="67"/>
    </row>
    <row r="107" spans="1:11" x14ac:dyDescent="0.3">
      <c r="A107" s="10">
        <v>1106</v>
      </c>
      <c r="B107" s="2">
        <v>46061</v>
      </c>
      <c r="C107" s="37" t="s">
        <v>28</v>
      </c>
      <c r="D107" s="1" t="s">
        <v>10</v>
      </c>
      <c r="E107" s="1" t="s">
        <v>7</v>
      </c>
      <c r="F107" s="1" t="s">
        <v>8</v>
      </c>
      <c r="G107" s="1">
        <v>6</v>
      </c>
      <c r="H107" s="3">
        <v>10</v>
      </c>
      <c r="I107" s="1">
        <v>10</v>
      </c>
      <c r="J107" s="11">
        <v>54</v>
      </c>
      <c r="K107" s="67"/>
    </row>
    <row r="108" spans="1:11" x14ac:dyDescent="0.3">
      <c r="A108" s="10">
        <v>1107</v>
      </c>
      <c r="B108" s="2">
        <v>46197</v>
      </c>
      <c r="C108" s="37" t="s">
        <v>36</v>
      </c>
      <c r="D108" s="1" t="s">
        <v>15</v>
      </c>
      <c r="E108" s="1" t="s">
        <v>11</v>
      </c>
      <c r="F108" s="1" t="s">
        <v>12</v>
      </c>
      <c r="G108" s="1">
        <v>6</v>
      </c>
      <c r="H108" s="3">
        <v>10</v>
      </c>
      <c r="I108" s="1">
        <v>0</v>
      </c>
      <c r="J108" s="11">
        <v>60</v>
      </c>
      <c r="K108" s="67"/>
    </row>
    <row r="109" spans="1:11" x14ac:dyDescent="0.3">
      <c r="A109" s="10">
        <v>1108</v>
      </c>
      <c r="B109" s="2">
        <v>46102</v>
      </c>
      <c r="C109" s="37" t="s">
        <v>5</v>
      </c>
      <c r="D109" s="1" t="s">
        <v>15</v>
      </c>
      <c r="E109" s="1" t="s">
        <v>7</v>
      </c>
      <c r="F109" s="1" t="s">
        <v>21</v>
      </c>
      <c r="G109" s="1">
        <v>8</v>
      </c>
      <c r="H109" s="3">
        <v>20</v>
      </c>
      <c r="I109" s="1">
        <v>5</v>
      </c>
      <c r="J109" s="11">
        <v>152</v>
      </c>
      <c r="K109" s="67"/>
    </row>
    <row r="110" spans="1:11" x14ac:dyDescent="0.3">
      <c r="A110" s="10">
        <v>1109</v>
      </c>
      <c r="B110" s="2">
        <v>46092</v>
      </c>
      <c r="C110" s="37" t="s">
        <v>49</v>
      </c>
      <c r="D110" s="1" t="s">
        <v>14</v>
      </c>
      <c r="E110" s="1" t="s">
        <v>16</v>
      </c>
      <c r="F110" s="1" t="s">
        <v>17</v>
      </c>
      <c r="G110" s="1">
        <v>3</v>
      </c>
      <c r="H110" s="3">
        <v>5</v>
      </c>
      <c r="I110" s="1">
        <v>0</v>
      </c>
      <c r="J110" s="11">
        <v>15</v>
      </c>
      <c r="K110" s="67"/>
    </row>
    <row r="111" spans="1:11" x14ac:dyDescent="0.3">
      <c r="A111" s="10">
        <v>1110</v>
      </c>
      <c r="B111" s="2">
        <v>46087</v>
      </c>
      <c r="C111" s="37" t="s">
        <v>23</v>
      </c>
      <c r="D111" s="1" t="s">
        <v>10</v>
      </c>
      <c r="E111" s="1" t="s">
        <v>16</v>
      </c>
      <c r="F111" s="1" t="s">
        <v>17</v>
      </c>
      <c r="G111" s="1">
        <v>9</v>
      </c>
      <c r="H111" s="3">
        <v>5</v>
      </c>
      <c r="I111" s="1">
        <v>0</v>
      </c>
      <c r="J111" s="11">
        <v>45</v>
      </c>
      <c r="K111" s="67"/>
    </row>
    <row r="112" spans="1:11" x14ac:dyDescent="0.3">
      <c r="A112" s="10">
        <v>1111</v>
      </c>
      <c r="B112" s="2">
        <v>46096</v>
      </c>
      <c r="C112" s="37" t="s">
        <v>9</v>
      </c>
      <c r="D112" s="1" t="s">
        <v>6</v>
      </c>
      <c r="E112" s="1" t="s">
        <v>16</v>
      </c>
      <c r="F112" s="1" t="s">
        <v>17</v>
      </c>
      <c r="G112" s="1">
        <v>2</v>
      </c>
      <c r="H112" s="3">
        <v>5</v>
      </c>
      <c r="I112" s="1">
        <v>0</v>
      </c>
      <c r="J112" s="11">
        <v>10</v>
      </c>
      <c r="K112" s="67"/>
    </row>
    <row r="113" spans="1:11" x14ac:dyDescent="0.3">
      <c r="A113" s="10">
        <v>1112</v>
      </c>
      <c r="B113" s="2">
        <v>46182</v>
      </c>
      <c r="C113" s="37" t="s">
        <v>45</v>
      </c>
      <c r="D113" s="1" t="s">
        <v>6</v>
      </c>
      <c r="E113" s="1" t="s">
        <v>16</v>
      </c>
      <c r="F113" s="1" t="s">
        <v>17</v>
      </c>
      <c r="G113" s="1">
        <v>8</v>
      </c>
      <c r="H113" s="3">
        <v>50</v>
      </c>
      <c r="I113" s="1">
        <v>0</v>
      </c>
      <c r="J113" s="11">
        <v>400</v>
      </c>
      <c r="K113" s="67"/>
    </row>
    <row r="114" spans="1:11" x14ac:dyDescent="0.3">
      <c r="A114" s="10">
        <v>1113</v>
      </c>
      <c r="B114" s="2">
        <v>46125</v>
      </c>
      <c r="C114" s="37" t="s">
        <v>55</v>
      </c>
      <c r="D114" s="1" t="s">
        <v>14</v>
      </c>
      <c r="E114" s="1" t="s">
        <v>7</v>
      </c>
      <c r="F114" s="1" t="s">
        <v>21</v>
      </c>
      <c r="G114" s="1">
        <v>3</v>
      </c>
      <c r="H114" s="3">
        <v>5</v>
      </c>
      <c r="I114" s="1">
        <v>0</v>
      </c>
      <c r="J114" s="11">
        <v>15</v>
      </c>
      <c r="K114" s="67"/>
    </row>
    <row r="115" spans="1:11" x14ac:dyDescent="0.3">
      <c r="A115" s="10">
        <v>1114</v>
      </c>
      <c r="B115" s="2">
        <v>46082</v>
      </c>
      <c r="C115" s="37" t="s">
        <v>44</v>
      </c>
      <c r="D115" s="1" t="s">
        <v>6</v>
      </c>
      <c r="E115" s="1" t="s">
        <v>7</v>
      </c>
      <c r="F115" s="1" t="s">
        <v>21</v>
      </c>
      <c r="G115" s="1">
        <v>9</v>
      </c>
      <c r="H115" s="3">
        <v>10</v>
      </c>
      <c r="I115" s="1">
        <v>10</v>
      </c>
      <c r="J115" s="11">
        <v>81</v>
      </c>
      <c r="K115" s="67"/>
    </row>
    <row r="116" spans="1:11" x14ac:dyDescent="0.3">
      <c r="A116" s="10">
        <v>1115</v>
      </c>
      <c r="B116" s="2">
        <v>46116</v>
      </c>
      <c r="C116" s="37" t="s">
        <v>46</v>
      </c>
      <c r="D116" s="1" t="s">
        <v>14</v>
      </c>
      <c r="E116" s="1" t="s">
        <v>16</v>
      </c>
      <c r="F116" s="1" t="s">
        <v>20</v>
      </c>
      <c r="G116" s="1">
        <v>4</v>
      </c>
      <c r="H116" s="3">
        <v>100</v>
      </c>
      <c r="I116" s="1">
        <v>0</v>
      </c>
      <c r="J116" s="11">
        <v>400</v>
      </c>
      <c r="K116" s="67"/>
    </row>
    <row r="117" spans="1:11" x14ac:dyDescent="0.3">
      <c r="A117" s="10">
        <v>1116</v>
      </c>
      <c r="B117" s="2">
        <v>46114</v>
      </c>
      <c r="C117" s="37" t="s">
        <v>19</v>
      </c>
      <c r="D117" s="1" t="s">
        <v>14</v>
      </c>
      <c r="E117" s="1" t="s">
        <v>16</v>
      </c>
      <c r="F117" s="1" t="s">
        <v>20</v>
      </c>
      <c r="G117" s="1">
        <v>8</v>
      </c>
      <c r="H117" s="3">
        <v>10</v>
      </c>
      <c r="I117" s="1">
        <v>10</v>
      </c>
      <c r="J117" s="11">
        <v>72</v>
      </c>
      <c r="K117" s="67"/>
    </row>
    <row r="118" spans="1:11" x14ac:dyDescent="0.3">
      <c r="A118" s="10">
        <v>1117</v>
      </c>
      <c r="B118" s="2">
        <v>46123</v>
      </c>
      <c r="C118" s="37" t="s">
        <v>34</v>
      </c>
      <c r="D118" s="1" t="s">
        <v>15</v>
      </c>
      <c r="E118" s="1" t="s">
        <v>16</v>
      </c>
      <c r="F118" s="1" t="s">
        <v>17</v>
      </c>
      <c r="G118" s="1">
        <v>1</v>
      </c>
      <c r="H118" s="3">
        <v>20</v>
      </c>
      <c r="I118" s="1">
        <v>0</v>
      </c>
      <c r="J118" s="11">
        <v>20</v>
      </c>
      <c r="K118" s="67"/>
    </row>
    <row r="119" spans="1:11" x14ac:dyDescent="0.3">
      <c r="A119" s="10">
        <v>1118</v>
      </c>
      <c r="B119" s="2">
        <v>46169</v>
      </c>
      <c r="C119" s="37" t="s">
        <v>49</v>
      </c>
      <c r="D119" s="1" t="s">
        <v>10</v>
      </c>
      <c r="E119" s="1" t="s">
        <v>11</v>
      </c>
      <c r="F119" s="1" t="s">
        <v>12</v>
      </c>
      <c r="G119" s="1">
        <v>1</v>
      </c>
      <c r="H119" s="3">
        <v>20</v>
      </c>
      <c r="I119" s="1">
        <v>5</v>
      </c>
      <c r="J119" s="11">
        <v>19</v>
      </c>
      <c r="K119" s="67"/>
    </row>
    <row r="120" spans="1:11" x14ac:dyDescent="0.3">
      <c r="A120" s="10">
        <v>1119</v>
      </c>
      <c r="B120" s="2">
        <v>46056</v>
      </c>
      <c r="C120" s="37" t="s">
        <v>35</v>
      </c>
      <c r="D120" s="1" t="s">
        <v>15</v>
      </c>
      <c r="E120" s="1" t="s">
        <v>16</v>
      </c>
      <c r="F120" s="1" t="s">
        <v>20</v>
      </c>
      <c r="G120" s="1">
        <v>10</v>
      </c>
      <c r="H120" s="3">
        <v>20</v>
      </c>
      <c r="I120" s="1">
        <v>0</v>
      </c>
      <c r="J120" s="11">
        <v>200</v>
      </c>
      <c r="K120" s="67"/>
    </row>
    <row r="121" spans="1:11" x14ac:dyDescent="0.3">
      <c r="A121" s="10">
        <v>1120</v>
      </c>
      <c r="B121" s="2">
        <v>46186</v>
      </c>
      <c r="C121" s="37" t="s">
        <v>26</v>
      </c>
      <c r="D121" s="1" t="s">
        <v>15</v>
      </c>
      <c r="E121" s="1" t="s">
        <v>7</v>
      </c>
      <c r="F121" s="1" t="s">
        <v>8</v>
      </c>
      <c r="G121" s="1">
        <v>3</v>
      </c>
      <c r="H121" s="3">
        <v>5</v>
      </c>
      <c r="I121" s="1">
        <v>0</v>
      </c>
      <c r="J121" s="11">
        <v>15</v>
      </c>
      <c r="K121" s="67"/>
    </row>
    <row r="122" spans="1:11" x14ac:dyDescent="0.3">
      <c r="A122" s="10">
        <v>1121</v>
      </c>
      <c r="B122" s="2">
        <v>46062</v>
      </c>
      <c r="C122" s="37" t="s">
        <v>22</v>
      </c>
      <c r="D122" s="1" t="s">
        <v>15</v>
      </c>
      <c r="E122" s="1" t="s">
        <v>7</v>
      </c>
      <c r="F122" s="1" t="s">
        <v>8</v>
      </c>
      <c r="G122" s="1">
        <v>4</v>
      </c>
      <c r="H122" s="3">
        <v>5</v>
      </c>
      <c r="I122" s="1">
        <v>0</v>
      </c>
      <c r="J122" s="11">
        <v>20</v>
      </c>
      <c r="K122" s="67"/>
    </row>
    <row r="123" spans="1:11" x14ac:dyDescent="0.3">
      <c r="A123" s="10">
        <v>1122</v>
      </c>
      <c r="B123" s="2">
        <v>46195</v>
      </c>
      <c r="C123" s="37" t="s">
        <v>51</v>
      </c>
      <c r="D123" s="1" t="s">
        <v>6</v>
      </c>
      <c r="E123" s="1" t="s">
        <v>16</v>
      </c>
      <c r="F123" s="1" t="s">
        <v>20</v>
      </c>
      <c r="G123" s="1">
        <v>5</v>
      </c>
      <c r="H123" s="3">
        <v>10</v>
      </c>
      <c r="I123" s="1">
        <v>10</v>
      </c>
      <c r="J123" s="11">
        <v>45</v>
      </c>
      <c r="K123" s="67"/>
    </row>
    <row r="124" spans="1:11" x14ac:dyDescent="0.3">
      <c r="A124" s="10">
        <v>1123</v>
      </c>
      <c r="B124" s="2">
        <v>46039</v>
      </c>
      <c r="C124" s="37" t="s">
        <v>45</v>
      </c>
      <c r="D124" s="1" t="s">
        <v>14</v>
      </c>
      <c r="E124" s="1" t="s">
        <v>11</v>
      </c>
      <c r="F124" s="1" t="s">
        <v>12</v>
      </c>
      <c r="G124" s="1">
        <v>9</v>
      </c>
      <c r="H124" s="3">
        <v>20</v>
      </c>
      <c r="I124" s="1">
        <v>0</v>
      </c>
      <c r="J124" s="11">
        <v>180</v>
      </c>
      <c r="K124" s="67"/>
    </row>
    <row r="125" spans="1:11" x14ac:dyDescent="0.3">
      <c r="A125" s="10">
        <v>1124</v>
      </c>
      <c r="B125" s="2">
        <v>46156</v>
      </c>
      <c r="C125" s="37" t="s">
        <v>42</v>
      </c>
      <c r="D125" s="1" t="s">
        <v>10</v>
      </c>
      <c r="E125" s="1" t="s">
        <v>16</v>
      </c>
      <c r="F125" s="1" t="s">
        <v>17</v>
      </c>
      <c r="G125" s="1">
        <v>9</v>
      </c>
      <c r="H125" s="3">
        <v>20</v>
      </c>
      <c r="I125" s="1">
        <v>0</v>
      </c>
      <c r="J125" s="11">
        <v>180</v>
      </c>
      <c r="K125" s="67"/>
    </row>
    <row r="126" spans="1:11" x14ac:dyDescent="0.3">
      <c r="A126" s="10">
        <v>1125</v>
      </c>
      <c r="B126" s="2">
        <v>46198</v>
      </c>
      <c r="C126" s="37" t="s">
        <v>30</v>
      </c>
      <c r="D126" s="1" t="s">
        <v>10</v>
      </c>
      <c r="E126" s="1" t="s">
        <v>7</v>
      </c>
      <c r="F126" s="1" t="s">
        <v>8</v>
      </c>
      <c r="G126" s="1">
        <v>1</v>
      </c>
      <c r="H126" s="3">
        <v>100</v>
      </c>
      <c r="I126" s="1">
        <v>5</v>
      </c>
      <c r="J126" s="11">
        <v>95</v>
      </c>
      <c r="K126" s="67"/>
    </row>
    <row r="127" spans="1:11" x14ac:dyDescent="0.3">
      <c r="A127" s="10">
        <v>1126</v>
      </c>
      <c r="B127" s="2">
        <v>46199</v>
      </c>
      <c r="C127" s="37" t="s">
        <v>50</v>
      </c>
      <c r="D127" s="1" t="s">
        <v>14</v>
      </c>
      <c r="E127" s="1" t="s">
        <v>16</v>
      </c>
      <c r="F127" s="1" t="s">
        <v>17</v>
      </c>
      <c r="G127" s="1">
        <v>7</v>
      </c>
      <c r="H127" s="3">
        <v>50</v>
      </c>
      <c r="I127" s="1">
        <v>0</v>
      </c>
      <c r="J127" s="11">
        <v>350</v>
      </c>
      <c r="K127" s="67"/>
    </row>
    <row r="128" spans="1:11" x14ac:dyDescent="0.3">
      <c r="A128" s="10">
        <v>1127</v>
      </c>
      <c r="B128" s="2">
        <v>46040</v>
      </c>
      <c r="C128" s="37" t="s">
        <v>19</v>
      </c>
      <c r="D128" s="1" t="s">
        <v>6</v>
      </c>
      <c r="E128" s="1" t="s">
        <v>7</v>
      </c>
      <c r="F128" s="1" t="s">
        <v>8</v>
      </c>
      <c r="G128" s="1">
        <v>1</v>
      </c>
      <c r="H128" s="3">
        <v>20</v>
      </c>
      <c r="I128" s="1">
        <v>5</v>
      </c>
      <c r="J128" s="11">
        <v>19</v>
      </c>
      <c r="K128" s="67"/>
    </row>
    <row r="129" spans="1:11" x14ac:dyDescent="0.3">
      <c r="A129" s="10">
        <v>1128</v>
      </c>
      <c r="B129" s="2">
        <v>46129</v>
      </c>
      <c r="C129" s="37" t="s">
        <v>37</v>
      </c>
      <c r="D129" s="1" t="s">
        <v>14</v>
      </c>
      <c r="E129" s="1" t="s">
        <v>16</v>
      </c>
      <c r="F129" s="1" t="s">
        <v>17</v>
      </c>
      <c r="G129" s="1">
        <v>2</v>
      </c>
      <c r="H129" s="3">
        <v>5</v>
      </c>
      <c r="I129" s="1">
        <v>0</v>
      </c>
      <c r="J129" s="11">
        <v>10</v>
      </c>
      <c r="K129" s="67"/>
    </row>
    <row r="130" spans="1:11" x14ac:dyDescent="0.3">
      <c r="A130" s="10">
        <v>1129</v>
      </c>
      <c r="B130" s="2">
        <v>46087</v>
      </c>
      <c r="C130" s="37" t="s">
        <v>50</v>
      </c>
      <c r="D130" s="1" t="s">
        <v>10</v>
      </c>
      <c r="E130" s="1" t="s">
        <v>16</v>
      </c>
      <c r="F130" s="1" t="s">
        <v>17</v>
      </c>
      <c r="G130" s="1">
        <v>3</v>
      </c>
      <c r="H130" s="3">
        <v>5</v>
      </c>
      <c r="I130" s="1">
        <v>0</v>
      </c>
      <c r="J130" s="11">
        <v>15</v>
      </c>
      <c r="K130" s="67"/>
    </row>
    <row r="131" spans="1:11" x14ac:dyDescent="0.3">
      <c r="A131" s="10">
        <v>1130</v>
      </c>
      <c r="B131" s="2">
        <v>46071</v>
      </c>
      <c r="C131" s="37" t="s">
        <v>32</v>
      </c>
      <c r="D131" s="1" t="s">
        <v>14</v>
      </c>
      <c r="E131" s="1" t="s">
        <v>16</v>
      </c>
      <c r="F131" s="1" t="s">
        <v>17</v>
      </c>
      <c r="G131" s="1">
        <v>1</v>
      </c>
      <c r="H131" s="3">
        <v>50</v>
      </c>
      <c r="I131" s="1">
        <v>0</v>
      </c>
      <c r="J131" s="11">
        <v>50</v>
      </c>
      <c r="K131" s="67"/>
    </row>
    <row r="132" spans="1:11" x14ac:dyDescent="0.3">
      <c r="A132" s="10">
        <v>1131</v>
      </c>
      <c r="B132" s="2">
        <v>46094</v>
      </c>
      <c r="C132" s="37" t="s">
        <v>51</v>
      </c>
      <c r="D132" s="1" t="s">
        <v>6</v>
      </c>
      <c r="E132" s="1" t="s">
        <v>7</v>
      </c>
      <c r="F132" s="1" t="s">
        <v>8</v>
      </c>
      <c r="G132" s="1">
        <v>7</v>
      </c>
      <c r="H132" s="3">
        <v>20</v>
      </c>
      <c r="I132" s="1">
        <v>0</v>
      </c>
      <c r="J132" s="11">
        <v>140</v>
      </c>
      <c r="K132" s="67"/>
    </row>
    <row r="133" spans="1:11" x14ac:dyDescent="0.3">
      <c r="A133" s="10">
        <v>1132</v>
      </c>
      <c r="B133" s="2">
        <v>46190</v>
      </c>
      <c r="C133" s="37" t="s">
        <v>5</v>
      </c>
      <c r="D133" s="1" t="s">
        <v>14</v>
      </c>
      <c r="E133" s="1" t="s">
        <v>16</v>
      </c>
      <c r="F133" s="1" t="s">
        <v>20</v>
      </c>
      <c r="G133" s="1">
        <v>5</v>
      </c>
      <c r="H133" s="3">
        <v>100</v>
      </c>
      <c r="I133" s="1">
        <v>10</v>
      </c>
      <c r="J133" s="11">
        <v>450</v>
      </c>
      <c r="K133" s="67"/>
    </row>
    <row r="134" spans="1:11" x14ac:dyDescent="0.3">
      <c r="A134" s="10">
        <v>1133</v>
      </c>
      <c r="B134" s="2">
        <v>46126</v>
      </c>
      <c r="C134" s="37" t="s">
        <v>33</v>
      </c>
      <c r="D134" s="1" t="s">
        <v>6</v>
      </c>
      <c r="E134" s="1" t="s">
        <v>16</v>
      </c>
      <c r="F134" s="1" t="s">
        <v>20</v>
      </c>
      <c r="G134" s="1">
        <v>7</v>
      </c>
      <c r="H134" s="3">
        <v>20</v>
      </c>
      <c r="I134" s="1">
        <v>5</v>
      </c>
      <c r="J134" s="11">
        <v>133</v>
      </c>
      <c r="K134" s="67"/>
    </row>
    <row r="135" spans="1:11" x14ac:dyDescent="0.3">
      <c r="A135" s="10">
        <v>1134</v>
      </c>
      <c r="B135" s="2">
        <v>46068</v>
      </c>
      <c r="C135" s="37" t="s">
        <v>9</v>
      </c>
      <c r="D135" s="1" t="s">
        <v>15</v>
      </c>
      <c r="E135" s="1" t="s">
        <v>7</v>
      </c>
      <c r="F135" s="1" t="s">
        <v>8</v>
      </c>
      <c r="G135" s="1">
        <v>7</v>
      </c>
      <c r="H135" s="3">
        <v>20</v>
      </c>
      <c r="I135" s="1">
        <v>10</v>
      </c>
      <c r="J135" s="11">
        <v>126</v>
      </c>
      <c r="K135" s="67"/>
    </row>
    <row r="136" spans="1:11" x14ac:dyDescent="0.3">
      <c r="A136" s="10">
        <v>1135</v>
      </c>
      <c r="B136" s="2">
        <v>46069</v>
      </c>
      <c r="C136" s="37" t="s">
        <v>19</v>
      </c>
      <c r="D136" s="1" t="s">
        <v>10</v>
      </c>
      <c r="E136" s="1" t="s">
        <v>16</v>
      </c>
      <c r="F136" s="1" t="s">
        <v>20</v>
      </c>
      <c r="G136" s="1">
        <v>10</v>
      </c>
      <c r="H136" s="3">
        <v>5</v>
      </c>
      <c r="I136" s="1">
        <v>5</v>
      </c>
      <c r="J136" s="11">
        <v>47.5</v>
      </c>
      <c r="K136" s="67"/>
    </row>
    <row r="137" spans="1:11" x14ac:dyDescent="0.3">
      <c r="A137" s="10">
        <v>1136</v>
      </c>
      <c r="B137" s="2">
        <v>46182</v>
      </c>
      <c r="C137" s="37" t="s">
        <v>45</v>
      </c>
      <c r="D137" s="1" t="s">
        <v>6</v>
      </c>
      <c r="E137" s="1" t="s">
        <v>16</v>
      </c>
      <c r="F137" s="1" t="s">
        <v>20</v>
      </c>
      <c r="G137" s="1">
        <v>9</v>
      </c>
      <c r="H137" s="3">
        <v>10</v>
      </c>
      <c r="I137" s="1">
        <v>10</v>
      </c>
      <c r="J137" s="11">
        <v>81</v>
      </c>
      <c r="K137" s="67"/>
    </row>
    <row r="138" spans="1:11" x14ac:dyDescent="0.3">
      <c r="A138" s="10">
        <v>1137</v>
      </c>
      <c r="B138" s="2">
        <v>46057</v>
      </c>
      <c r="C138" s="37" t="s">
        <v>32</v>
      </c>
      <c r="D138" s="1" t="s">
        <v>14</v>
      </c>
      <c r="E138" s="1" t="s">
        <v>7</v>
      </c>
      <c r="F138" s="1" t="s">
        <v>21</v>
      </c>
      <c r="G138" s="1">
        <v>3</v>
      </c>
      <c r="H138" s="3">
        <v>5</v>
      </c>
      <c r="I138" s="1">
        <v>10</v>
      </c>
      <c r="J138" s="11">
        <v>13.5</v>
      </c>
      <c r="K138" s="67"/>
    </row>
    <row r="139" spans="1:11" x14ac:dyDescent="0.3">
      <c r="A139" s="10">
        <v>1138</v>
      </c>
      <c r="B139" s="2">
        <v>46190</v>
      </c>
      <c r="C139" s="37" t="s">
        <v>40</v>
      </c>
      <c r="D139" s="1" t="s">
        <v>15</v>
      </c>
      <c r="E139" s="1" t="s">
        <v>11</v>
      </c>
      <c r="F139" s="1" t="s">
        <v>12</v>
      </c>
      <c r="G139" s="1">
        <v>7</v>
      </c>
      <c r="H139" s="3">
        <v>10</v>
      </c>
      <c r="I139" s="1">
        <v>10</v>
      </c>
      <c r="J139" s="11">
        <v>63</v>
      </c>
      <c r="K139" s="67"/>
    </row>
    <row r="140" spans="1:11" x14ac:dyDescent="0.3">
      <c r="A140" s="10">
        <v>1139</v>
      </c>
      <c r="B140" s="2">
        <v>46152</v>
      </c>
      <c r="C140" s="37" t="s">
        <v>46</v>
      </c>
      <c r="D140" s="1" t="s">
        <v>14</v>
      </c>
      <c r="E140" s="1" t="s">
        <v>7</v>
      </c>
      <c r="F140" s="1" t="s">
        <v>21</v>
      </c>
      <c r="G140" s="1">
        <v>6</v>
      </c>
      <c r="H140" s="3">
        <v>20</v>
      </c>
      <c r="I140" s="1">
        <v>5</v>
      </c>
      <c r="J140" s="11">
        <v>114</v>
      </c>
      <c r="K140" s="67"/>
    </row>
    <row r="141" spans="1:11" x14ac:dyDescent="0.3">
      <c r="A141" s="10">
        <v>1140</v>
      </c>
      <c r="B141" s="2">
        <v>46092</v>
      </c>
      <c r="C141" s="37" t="s">
        <v>5</v>
      </c>
      <c r="D141" s="1" t="s">
        <v>10</v>
      </c>
      <c r="E141" s="1" t="s">
        <v>16</v>
      </c>
      <c r="F141" s="1" t="s">
        <v>20</v>
      </c>
      <c r="G141" s="1">
        <v>1</v>
      </c>
      <c r="H141" s="3">
        <v>50</v>
      </c>
      <c r="I141" s="1">
        <v>0</v>
      </c>
      <c r="J141" s="11">
        <v>50</v>
      </c>
      <c r="K141" s="67"/>
    </row>
    <row r="142" spans="1:11" x14ac:dyDescent="0.3">
      <c r="A142" s="10">
        <v>1141</v>
      </c>
      <c r="B142" s="2">
        <v>46120</v>
      </c>
      <c r="C142" s="37" t="s">
        <v>13</v>
      </c>
      <c r="D142" s="1" t="s">
        <v>6</v>
      </c>
      <c r="E142" s="1" t="s">
        <v>16</v>
      </c>
      <c r="F142" s="1" t="s">
        <v>20</v>
      </c>
      <c r="G142" s="1">
        <v>9</v>
      </c>
      <c r="H142" s="3">
        <v>100</v>
      </c>
      <c r="I142" s="1">
        <v>10</v>
      </c>
      <c r="J142" s="11">
        <v>810</v>
      </c>
      <c r="K142" s="67"/>
    </row>
    <row r="143" spans="1:11" x14ac:dyDescent="0.3">
      <c r="A143" s="10">
        <v>1142</v>
      </c>
      <c r="B143" s="2">
        <v>46086</v>
      </c>
      <c r="C143" s="37" t="s">
        <v>31</v>
      </c>
      <c r="D143" s="1" t="s">
        <v>14</v>
      </c>
      <c r="E143" s="1" t="s">
        <v>7</v>
      </c>
      <c r="F143" s="1" t="s">
        <v>8</v>
      </c>
      <c r="G143" s="1">
        <v>10</v>
      </c>
      <c r="H143" s="3">
        <v>50</v>
      </c>
      <c r="I143" s="1">
        <v>0</v>
      </c>
      <c r="J143" s="11">
        <v>500</v>
      </c>
      <c r="K143" s="67"/>
    </row>
    <row r="144" spans="1:11" x14ac:dyDescent="0.3">
      <c r="A144" s="10">
        <v>1143</v>
      </c>
      <c r="B144" s="2">
        <v>46197</v>
      </c>
      <c r="C144" s="37" t="s">
        <v>5</v>
      </c>
      <c r="D144" s="1" t="s">
        <v>15</v>
      </c>
      <c r="E144" s="1" t="s">
        <v>11</v>
      </c>
      <c r="F144" s="1" t="s">
        <v>12</v>
      </c>
      <c r="G144" s="1">
        <v>9</v>
      </c>
      <c r="H144" s="3">
        <v>10</v>
      </c>
      <c r="I144" s="1">
        <v>10</v>
      </c>
      <c r="J144" s="11">
        <v>81</v>
      </c>
      <c r="K144" s="67"/>
    </row>
    <row r="145" spans="1:11" x14ac:dyDescent="0.3">
      <c r="A145" s="10">
        <v>1144</v>
      </c>
      <c r="B145" s="2">
        <v>46154</v>
      </c>
      <c r="C145" s="37" t="s">
        <v>55</v>
      </c>
      <c r="D145" s="1" t="s">
        <v>15</v>
      </c>
      <c r="E145" s="1" t="s">
        <v>7</v>
      </c>
      <c r="F145" s="1" t="s">
        <v>8</v>
      </c>
      <c r="G145" s="1">
        <v>8</v>
      </c>
      <c r="H145" s="3">
        <v>50</v>
      </c>
      <c r="I145" s="1">
        <v>0</v>
      </c>
      <c r="J145" s="11">
        <v>400</v>
      </c>
      <c r="K145" s="67"/>
    </row>
    <row r="146" spans="1:11" x14ac:dyDescent="0.3">
      <c r="A146" s="10">
        <v>1145</v>
      </c>
      <c r="B146" s="2">
        <v>46143</v>
      </c>
      <c r="C146" s="37" t="s">
        <v>40</v>
      </c>
      <c r="D146" s="1" t="s">
        <v>14</v>
      </c>
      <c r="E146" s="1" t="s">
        <v>7</v>
      </c>
      <c r="F146" s="1" t="s">
        <v>8</v>
      </c>
      <c r="G146" s="1">
        <v>3</v>
      </c>
      <c r="H146" s="3">
        <v>5</v>
      </c>
      <c r="I146" s="1">
        <v>0</v>
      </c>
      <c r="J146" s="11">
        <v>15</v>
      </c>
      <c r="K146" s="67"/>
    </row>
    <row r="147" spans="1:11" x14ac:dyDescent="0.3">
      <c r="A147" s="10">
        <v>1146</v>
      </c>
      <c r="B147" s="2">
        <v>46046</v>
      </c>
      <c r="C147" s="37" t="s">
        <v>19</v>
      </c>
      <c r="D147" s="1" t="s">
        <v>6</v>
      </c>
      <c r="E147" s="1" t="s">
        <v>7</v>
      </c>
      <c r="F147" s="1" t="s">
        <v>21</v>
      </c>
      <c r="G147" s="1">
        <v>5</v>
      </c>
      <c r="H147" s="3">
        <v>10</v>
      </c>
      <c r="I147" s="1">
        <v>10</v>
      </c>
      <c r="J147" s="11">
        <v>45</v>
      </c>
      <c r="K147" s="67"/>
    </row>
    <row r="148" spans="1:11" x14ac:dyDescent="0.3">
      <c r="A148" s="10">
        <v>1147</v>
      </c>
      <c r="B148" s="2">
        <v>46160</v>
      </c>
      <c r="C148" s="37" t="s">
        <v>32</v>
      </c>
      <c r="D148" s="1" t="s">
        <v>6</v>
      </c>
      <c r="E148" s="1" t="s">
        <v>16</v>
      </c>
      <c r="F148" s="1" t="s">
        <v>17</v>
      </c>
      <c r="G148" s="1">
        <v>3</v>
      </c>
      <c r="H148" s="3">
        <v>20</v>
      </c>
      <c r="I148" s="1">
        <v>5</v>
      </c>
      <c r="J148" s="11">
        <v>57</v>
      </c>
      <c r="K148" s="67"/>
    </row>
    <row r="149" spans="1:11" x14ac:dyDescent="0.3">
      <c r="A149" s="10">
        <v>1148</v>
      </c>
      <c r="B149" s="2">
        <v>46093</v>
      </c>
      <c r="C149" s="37" t="s">
        <v>18</v>
      </c>
      <c r="D149" s="1" t="s">
        <v>15</v>
      </c>
      <c r="E149" s="1" t="s">
        <v>7</v>
      </c>
      <c r="F149" s="1" t="s">
        <v>8</v>
      </c>
      <c r="G149" s="1">
        <v>4</v>
      </c>
      <c r="H149" s="3">
        <v>100</v>
      </c>
      <c r="I149" s="1">
        <v>0</v>
      </c>
      <c r="J149" s="11">
        <v>400</v>
      </c>
      <c r="K149" s="67"/>
    </row>
    <row r="150" spans="1:11" x14ac:dyDescent="0.3">
      <c r="A150" s="10">
        <v>1149</v>
      </c>
      <c r="B150" s="2">
        <v>46069</v>
      </c>
      <c r="C150" s="37" t="s">
        <v>19</v>
      </c>
      <c r="D150" s="1" t="s">
        <v>15</v>
      </c>
      <c r="E150" s="1" t="s">
        <v>16</v>
      </c>
      <c r="F150" s="1" t="s">
        <v>20</v>
      </c>
      <c r="G150" s="1">
        <v>1</v>
      </c>
      <c r="H150" s="3">
        <v>100</v>
      </c>
      <c r="I150" s="1">
        <v>10</v>
      </c>
      <c r="J150" s="11">
        <v>90</v>
      </c>
      <c r="K150" s="67"/>
    </row>
    <row r="151" spans="1:11" x14ac:dyDescent="0.3">
      <c r="A151" s="10">
        <v>1150</v>
      </c>
      <c r="B151" s="2">
        <v>46197</v>
      </c>
      <c r="C151" s="37" t="s">
        <v>25</v>
      </c>
      <c r="D151" s="1" t="s">
        <v>14</v>
      </c>
      <c r="E151" s="1" t="s">
        <v>7</v>
      </c>
      <c r="F151" s="1" t="s">
        <v>21</v>
      </c>
      <c r="G151" s="1">
        <v>8</v>
      </c>
      <c r="H151" s="3">
        <v>100</v>
      </c>
      <c r="I151" s="1">
        <v>0</v>
      </c>
      <c r="J151" s="11">
        <v>800</v>
      </c>
      <c r="K151" s="67"/>
    </row>
    <row r="152" spans="1:11" x14ac:dyDescent="0.3">
      <c r="A152" s="10">
        <v>1151</v>
      </c>
      <c r="B152" s="2">
        <v>46039</v>
      </c>
      <c r="C152" s="37" t="s">
        <v>52</v>
      </c>
      <c r="D152" s="1" t="s">
        <v>10</v>
      </c>
      <c r="E152" s="1" t="s">
        <v>11</v>
      </c>
      <c r="F152" s="1" t="s">
        <v>12</v>
      </c>
      <c r="G152" s="1">
        <v>3</v>
      </c>
      <c r="H152" s="3">
        <v>5</v>
      </c>
      <c r="I152" s="1">
        <v>10</v>
      </c>
      <c r="J152" s="11">
        <v>13.5</v>
      </c>
      <c r="K152" s="67"/>
    </row>
    <row r="153" spans="1:11" x14ac:dyDescent="0.3">
      <c r="A153" s="10">
        <v>1152</v>
      </c>
      <c r="B153" s="2">
        <v>46181</v>
      </c>
      <c r="C153" s="37" t="s">
        <v>9</v>
      </c>
      <c r="D153" s="1" t="s">
        <v>15</v>
      </c>
      <c r="E153" s="1" t="s">
        <v>16</v>
      </c>
      <c r="F153" s="1" t="s">
        <v>17</v>
      </c>
      <c r="G153" s="1">
        <v>6</v>
      </c>
      <c r="H153" s="3">
        <v>100</v>
      </c>
      <c r="I153" s="1">
        <v>5</v>
      </c>
      <c r="J153" s="11">
        <v>570</v>
      </c>
      <c r="K153" s="67"/>
    </row>
    <row r="154" spans="1:11" x14ac:dyDescent="0.3">
      <c r="A154" s="10">
        <v>1153</v>
      </c>
      <c r="B154" s="2">
        <v>46127</v>
      </c>
      <c r="C154" s="37" t="s">
        <v>9</v>
      </c>
      <c r="D154" s="1" t="s">
        <v>10</v>
      </c>
      <c r="E154" s="1" t="s">
        <v>11</v>
      </c>
      <c r="F154" s="1" t="s">
        <v>12</v>
      </c>
      <c r="G154" s="1">
        <v>10</v>
      </c>
      <c r="H154" s="3">
        <v>50</v>
      </c>
      <c r="I154" s="1">
        <v>10</v>
      </c>
      <c r="J154" s="11">
        <v>450</v>
      </c>
      <c r="K154" s="67"/>
    </row>
    <row r="155" spans="1:11" x14ac:dyDescent="0.3">
      <c r="A155" s="10">
        <v>1154</v>
      </c>
      <c r="B155" s="2">
        <v>46070</v>
      </c>
      <c r="C155" s="37" t="s">
        <v>32</v>
      </c>
      <c r="D155" s="1" t="s">
        <v>14</v>
      </c>
      <c r="E155" s="1" t="s">
        <v>7</v>
      </c>
      <c r="F155" s="1" t="s">
        <v>21</v>
      </c>
      <c r="G155" s="1">
        <v>7</v>
      </c>
      <c r="H155" s="3">
        <v>20</v>
      </c>
      <c r="I155" s="1">
        <v>0</v>
      </c>
      <c r="J155" s="11">
        <v>140</v>
      </c>
      <c r="K155" s="67"/>
    </row>
    <row r="156" spans="1:11" x14ac:dyDescent="0.3">
      <c r="A156" s="10">
        <v>1155</v>
      </c>
      <c r="B156" s="2">
        <v>46038</v>
      </c>
      <c r="C156" s="37" t="s">
        <v>9</v>
      </c>
      <c r="D156" s="1" t="s">
        <v>15</v>
      </c>
      <c r="E156" s="1" t="s">
        <v>7</v>
      </c>
      <c r="F156" s="1" t="s">
        <v>21</v>
      </c>
      <c r="G156" s="1">
        <v>1</v>
      </c>
      <c r="H156" s="3">
        <v>20</v>
      </c>
      <c r="I156" s="1">
        <v>10</v>
      </c>
      <c r="J156" s="11">
        <v>18</v>
      </c>
      <c r="K156" s="67"/>
    </row>
    <row r="157" spans="1:11" x14ac:dyDescent="0.3">
      <c r="A157" s="10">
        <v>1156</v>
      </c>
      <c r="B157" s="2">
        <v>46143</v>
      </c>
      <c r="C157" s="37" t="s">
        <v>28</v>
      </c>
      <c r="D157" s="1" t="s">
        <v>15</v>
      </c>
      <c r="E157" s="1" t="s">
        <v>16</v>
      </c>
      <c r="F157" s="1" t="s">
        <v>17</v>
      </c>
      <c r="G157" s="1">
        <v>4</v>
      </c>
      <c r="H157" s="3">
        <v>20</v>
      </c>
      <c r="I157" s="1">
        <v>10</v>
      </c>
      <c r="J157" s="11">
        <v>72</v>
      </c>
      <c r="K157" s="67"/>
    </row>
    <row r="158" spans="1:11" x14ac:dyDescent="0.3">
      <c r="A158" s="10">
        <v>1157</v>
      </c>
      <c r="B158" s="2">
        <v>46093</v>
      </c>
      <c r="C158" s="37" t="s">
        <v>39</v>
      </c>
      <c r="D158" s="1" t="s">
        <v>14</v>
      </c>
      <c r="E158" s="1" t="s">
        <v>16</v>
      </c>
      <c r="F158" s="1" t="s">
        <v>20</v>
      </c>
      <c r="G158" s="1">
        <v>3</v>
      </c>
      <c r="H158" s="3">
        <v>5</v>
      </c>
      <c r="I158" s="1">
        <v>5</v>
      </c>
      <c r="J158" s="11">
        <v>14.25</v>
      </c>
      <c r="K158" s="67"/>
    </row>
    <row r="159" spans="1:11" x14ac:dyDescent="0.3">
      <c r="A159" s="10">
        <v>1158</v>
      </c>
      <c r="B159" s="2">
        <v>46037</v>
      </c>
      <c r="C159" s="37" t="s">
        <v>26</v>
      </c>
      <c r="D159" s="1" t="s">
        <v>14</v>
      </c>
      <c r="E159" s="1" t="s">
        <v>7</v>
      </c>
      <c r="F159" s="1" t="s">
        <v>8</v>
      </c>
      <c r="G159" s="1">
        <v>1</v>
      </c>
      <c r="H159" s="3">
        <v>10</v>
      </c>
      <c r="I159" s="1">
        <v>10</v>
      </c>
      <c r="J159" s="11">
        <v>9</v>
      </c>
      <c r="K159" s="67"/>
    </row>
    <row r="160" spans="1:11" x14ac:dyDescent="0.3">
      <c r="A160" s="10">
        <v>1159</v>
      </c>
      <c r="B160" s="2">
        <v>46125</v>
      </c>
      <c r="C160" s="37" t="s">
        <v>27</v>
      </c>
      <c r="D160" s="1" t="s">
        <v>14</v>
      </c>
      <c r="E160" s="1" t="s">
        <v>11</v>
      </c>
      <c r="F160" s="1" t="s">
        <v>12</v>
      </c>
      <c r="G160" s="1">
        <v>1</v>
      </c>
      <c r="H160" s="3">
        <v>100</v>
      </c>
      <c r="I160" s="1">
        <v>0</v>
      </c>
      <c r="J160" s="11">
        <v>100</v>
      </c>
      <c r="K160" s="67"/>
    </row>
    <row r="161" spans="1:11" x14ac:dyDescent="0.3">
      <c r="A161" s="10">
        <v>1160</v>
      </c>
      <c r="B161" s="2">
        <v>46181</v>
      </c>
      <c r="C161" s="37" t="s">
        <v>9</v>
      </c>
      <c r="D161" s="1" t="s">
        <v>6</v>
      </c>
      <c r="E161" s="1" t="s">
        <v>7</v>
      </c>
      <c r="F161" s="1" t="s">
        <v>21</v>
      </c>
      <c r="G161" s="1">
        <v>9</v>
      </c>
      <c r="H161" s="3">
        <v>100</v>
      </c>
      <c r="I161" s="1">
        <v>0</v>
      </c>
      <c r="J161" s="11">
        <v>900</v>
      </c>
      <c r="K161" s="67"/>
    </row>
    <row r="162" spans="1:11" x14ac:dyDescent="0.3">
      <c r="A162" s="10">
        <v>1161</v>
      </c>
      <c r="B162" s="2">
        <v>46027</v>
      </c>
      <c r="C162" s="37" t="s">
        <v>24</v>
      </c>
      <c r="D162" s="1" t="s">
        <v>15</v>
      </c>
      <c r="E162" s="1" t="s">
        <v>7</v>
      </c>
      <c r="F162" s="1" t="s">
        <v>21</v>
      </c>
      <c r="G162" s="1">
        <v>5</v>
      </c>
      <c r="H162" s="3">
        <v>50</v>
      </c>
      <c r="I162" s="1">
        <v>10</v>
      </c>
      <c r="J162" s="11">
        <v>225</v>
      </c>
      <c r="K162" s="67"/>
    </row>
    <row r="163" spans="1:11" x14ac:dyDescent="0.3">
      <c r="A163" s="10">
        <v>1162</v>
      </c>
      <c r="B163" s="2">
        <v>46143</v>
      </c>
      <c r="C163" s="37" t="s">
        <v>13</v>
      </c>
      <c r="D163" s="1" t="s">
        <v>6</v>
      </c>
      <c r="E163" s="1" t="s">
        <v>11</v>
      </c>
      <c r="F163" s="1" t="s">
        <v>12</v>
      </c>
      <c r="G163" s="1">
        <v>1</v>
      </c>
      <c r="H163" s="3">
        <v>100</v>
      </c>
      <c r="I163" s="1">
        <v>0</v>
      </c>
      <c r="J163" s="11">
        <v>100</v>
      </c>
      <c r="K163" s="67"/>
    </row>
    <row r="164" spans="1:11" x14ac:dyDescent="0.3">
      <c r="A164" s="10">
        <v>1163</v>
      </c>
      <c r="B164" s="2">
        <v>46155</v>
      </c>
      <c r="C164" s="37" t="s">
        <v>27</v>
      </c>
      <c r="D164" s="1" t="s">
        <v>14</v>
      </c>
      <c r="E164" s="1" t="s">
        <v>7</v>
      </c>
      <c r="F164" s="1" t="s">
        <v>21</v>
      </c>
      <c r="G164" s="1">
        <v>1</v>
      </c>
      <c r="H164" s="3">
        <v>100</v>
      </c>
      <c r="I164" s="1">
        <v>0</v>
      </c>
      <c r="J164" s="11">
        <v>100</v>
      </c>
      <c r="K164" s="67"/>
    </row>
    <row r="165" spans="1:11" x14ac:dyDescent="0.3">
      <c r="A165" s="10">
        <v>1164</v>
      </c>
      <c r="B165" s="2">
        <v>46031</v>
      </c>
      <c r="C165" s="37" t="s">
        <v>47</v>
      </c>
      <c r="D165" s="1" t="s">
        <v>10</v>
      </c>
      <c r="E165" s="1" t="s">
        <v>7</v>
      </c>
      <c r="F165" s="1" t="s">
        <v>21</v>
      </c>
      <c r="G165" s="1">
        <v>9</v>
      </c>
      <c r="H165" s="3">
        <v>10</v>
      </c>
      <c r="I165" s="1">
        <v>0</v>
      </c>
      <c r="J165" s="11">
        <v>90</v>
      </c>
      <c r="K165" s="67"/>
    </row>
    <row r="166" spans="1:11" x14ac:dyDescent="0.3">
      <c r="A166" s="10">
        <v>1165</v>
      </c>
      <c r="B166" s="2">
        <v>46066</v>
      </c>
      <c r="C166" s="37" t="s">
        <v>25</v>
      </c>
      <c r="D166" s="1" t="s">
        <v>15</v>
      </c>
      <c r="E166" s="1" t="s">
        <v>16</v>
      </c>
      <c r="F166" s="1" t="s">
        <v>20</v>
      </c>
      <c r="G166" s="1">
        <v>10</v>
      </c>
      <c r="H166" s="3">
        <v>10</v>
      </c>
      <c r="I166" s="1">
        <v>0</v>
      </c>
      <c r="J166" s="11">
        <v>100</v>
      </c>
      <c r="K166" s="67"/>
    </row>
    <row r="167" spans="1:11" x14ac:dyDescent="0.3">
      <c r="A167" s="10">
        <v>1166</v>
      </c>
      <c r="B167" s="2">
        <v>46153</v>
      </c>
      <c r="C167" s="37" t="s">
        <v>31</v>
      </c>
      <c r="D167" s="1" t="s">
        <v>15</v>
      </c>
      <c r="E167" s="1" t="s">
        <v>7</v>
      </c>
      <c r="F167" s="1" t="s">
        <v>21</v>
      </c>
      <c r="G167" s="1">
        <v>10</v>
      </c>
      <c r="H167" s="3">
        <v>5</v>
      </c>
      <c r="I167" s="1">
        <v>5</v>
      </c>
      <c r="J167" s="11">
        <v>47.5</v>
      </c>
      <c r="K167" s="67"/>
    </row>
    <row r="168" spans="1:11" x14ac:dyDescent="0.3">
      <c r="A168" s="10">
        <v>1167</v>
      </c>
      <c r="B168" s="2">
        <v>46159</v>
      </c>
      <c r="C168" s="37" t="s">
        <v>45</v>
      </c>
      <c r="D168" s="1" t="s">
        <v>15</v>
      </c>
      <c r="E168" s="1" t="s">
        <v>7</v>
      </c>
      <c r="F168" s="1" t="s">
        <v>8</v>
      </c>
      <c r="G168" s="1">
        <v>1</v>
      </c>
      <c r="H168" s="3">
        <v>10</v>
      </c>
      <c r="I168" s="1">
        <v>0</v>
      </c>
      <c r="J168" s="11">
        <v>10</v>
      </c>
      <c r="K168" s="67"/>
    </row>
    <row r="169" spans="1:11" x14ac:dyDescent="0.3">
      <c r="A169" s="10">
        <v>1168</v>
      </c>
      <c r="B169" s="2">
        <v>46194</v>
      </c>
      <c r="C169" s="37" t="s">
        <v>39</v>
      </c>
      <c r="D169" s="1" t="s">
        <v>14</v>
      </c>
      <c r="E169" s="1" t="s">
        <v>7</v>
      </c>
      <c r="F169" s="1" t="s">
        <v>21</v>
      </c>
      <c r="G169" s="1">
        <v>1</v>
      </c>
      <c r="H169" s="3">
        <v>5</v>
      </c>
      <c r="I169" s="1">
        <v>0</v>
      </c>
      <c r="J169" s="11">
        <v>5</v>
      </c>
      <c r="K169" s="67"/>
    </row>
    <row r="170" spans="1:11" x14ac:dyDescent="0.3">
      <c r="A170" s="10">
        <v>1169</v>
      </c>
      <c r="B170" s="2">
        <v>46074</v>
      </c>
      <c r="C170" s="37" t="s">
        <v>44</v>
      </c>
      <c r="D170" s="1" t="s">
        <v>14</v>
      </c>
      <c r="E170" s="1" t="s">
        <v>7</v>
      </c>
      <c r="F170" s="1" t="s">
        <v>8</v>
      </c>
      <c r="G170" s="1">
        <v>1</v>
      </c>
      <c r="H170" s="3">
        <v>20</v>
      </c>
      <c r="I170" s="1">
        <v>5</v>
      </c>
      <c r="J170" s="11">
        <v>19</v>
      </c>
      <c r="K170" s="67"/>
    </row>
    <row r="171" spans="1:11" x14ac:dyDescent="0.3">
      <c r="A171" s="10">
        <v>1170</v>
      </c>
      <c r="B171" s="2">
        <v>46096</v>
      </c>
      <c r="C171" s="37" t="s">
        <v>30</v>
      </c>
      <c r="D171" s="1" t="s">
        <v>6</v>
      </c>
      <c r="E171" s="1" t="s">
        <v>11</v>
      </c>
      <c r="F171" s="1" t="s">
        <v>12</v>
      </c>
      <c r="G171" s="1">
        <v>2</v>
      </c>
      <c r="H171" s="3">
        <v>20</v>
      </c>
      <c r="I171" s="1">
        <v>0</v>
      </c>
      <c r="J171" s="11">
        <v>40</v>
      </c>
      <c r="K171" s="67"/>
    </row>
    <row r="172" spans="1:11" x14ac:dyDescent="0.3">
      <c r="A172" s="10">
        <v>1171</v>
      </c>
      <c r="B172" s="2">
        <v>46125</v>
      </c>
      <c r="C172" s="37" t="s">
        <v>32</v>
      </c>
      <c r="D172" s="1" t="s">
        <v>15</v>
      </c>
      <c r="E172" s="1" t="s">
        <v>7</v>
      </c>
      <c r="F172" s="1" t="s">
        <v>8</v>
      </c>
      <c r="G172" s="1">
        <v>1</v>
      </c>
      <c r="H172" s="3">
        <v>10</v>
      </c>
      <c r="I172" s="1">
        <v>5</v>
      </c>
      <c r="J172" s="11">
        <v>9.5</v>
      </c>
      <c r="K172" s="67"/>
    </row>
    <row r="173" spans="1:11" x14ac:dyDescent="0.3">
      <c r="A173" s="10">
        <v>1172</v>
      </c>
      <c r="B173" s="2">
        <v>46088</v>
      </c>
      <c r="C173" s="37" t="s">
        <v>37</v>
      </c>
      <c r="D173" s="1" t="s">
        <v>10</v>
      </c>
      <c r="E173" s="1" t="s">
        <v>16</v>
      </c>
      <c r="F173" s="1" t="s">
        <v>17</v>
      </c>
      <c r="G173" s="1">
        <v>3</v>
      </c>
      <c r="H173" s="3">
        <v>10</v>
      </c>
      <c r="I173" s="1">
        <v>10</v>
      </c>
      <c r="J173" s="11">
        <v>27</v>
      </c>
      <c r="K173" s="67"/>
    </row>
    <row r="174" spans="1:11" x14ac:dyDescent="0.3">
      <c r="A174" s="10">
        <v>1173</v>
      </c>
      <c r="B174" s="2">
        <v>46201</v>
      </c>
      <c r="C174" s="37" t="s">
        <v>28</v>
      </c>
      <c r="D174" s="1" t="s">
        <v>10</v>
      </c>
      <c r="E174" s="1" t="s">
        <v>7</v>
      </c>
      <c r="F174" s="1" t="s">
        <v>21</v>
      </c>
      <c r="G174" s="1">
        <v>1</v>
      </c>
      <c r="H174" s="3">
        <v>50</v>
      </c>
      <c r="I174" s="1">
        <v>0</v>
      </c>
      <c r="J174" s="11">
        <v>50</v>
      </c>
      <c r="K174" s="67"/>
    </row>
    <row r="175" spans="1:11" x14ac:dyDescent="0.3">
      <c r="A175" s="10">
        <v>1174</v>
      </c>
      <c r="B175" s="2">
        <v>46069</v>
      </c>
      <c r="C175" s="37" t="s">
        <v>46</v>
      </c>
      <c r="D175" s="1" t="s">
        <v>14</v>
      </c>
      <c r="E175" s="1" t="s">
        <v>7</v>
      </c>
      <c r="F175" s="1" t="s">
        <v>21</v>
      </c>
      <c r="G175" s="1">
        <v>1</v>
      </c>
      <c r="H175" s="3">
        <v>50</v>
      </c>
      <c r="I175" s="1">
        <v>10</v>
      </c>
      <c r="J175" s="11">
        <v>45</v>
      </c>
      <c r="K175" s="67"/>
    </row>
    <row r="176" spans="1:11" x14ac:dyDescent="0.3">
      <c r="A176" s="10">
        <v>1175</v>
      </c>
      <c r="B176" s="2">
        <v>46181</v>
      </c>
      <c r="C176" s="37" t="s">
        <v>22</v>
      </c>
      <c r="D176" s="1" t="s">
        <v>14</v>
      </c>
      <c r="E176" s="1" t="s">
        <v>16</v>
      </c>
      <c r="F176" s="1" t="s">
        <v>20</v>
      </c>
      <c r="G176" s="1">
        <v>4</v>
      </c>
      <c r="H176" s="3">
        <v>10</v>
      </c>
      <c r="I176" s="1">
        <v>5</v>
      </c>
      <c r="J176" s="11">
        <v>38</v>
      </c>
      <c r="K176" s="67"/>
    </row>
    <row r="177" spans="1:11" x14ac:dyDescent="0.3">
      <c r="A177" s="10">
        <v>1176</v>
      </c>
      <c r="B177" s="2">
        <v>46069</v>
      </c>
      <c r="C177" s="37" t="s">
        <v>26</v>
      </c>
      <c r="D177" s="1" t="s">
        <v>14</v>
      </c>
      <c r="E177" s="1" t="s">
        <v>7</v>
      </c>
      <c r="F177" s="1" t="s">
        <v>8</v>
      </c>
      <c r="G177" s="1">
        <v>10</v>
      </c>
      <c r="H177" s="3">
        <v>5</v>
      </c>
      <c r="I177" s="1">
        <v>0</v>
      </c>
      <c r="J177" s="11">
        <v>50</v>
      </c>
      <c r="K177" s="67"/>
    </row>
    <row r="178" spans="1:11" x14ac:dyDescent="0.3">
      <c r="A178" s="10">
        <v>1177</v>
      </c>
      <c r="B178" s="2">
        <v>46043</v>
      </c>
      <c r="C178" s="37" t="s">
        <v>41</v>
      </c>
      <c r="D178" s="1" t="s">
        <v>14</v>
      </c>
      <c r="E178" s="1" t="s">
        <v>11</v>
      </c>
      <c r="F178" s="1" t="s">
        <v>12</v>
      </c>
      <c r="G178" s="1">
        <v>6</v>
      </c>
      <c r="H178" s="3">
        <v>5</v>
      </c>
      <c r="I178" s="1">
        <v>0</v>
      </c>
      <c r="J178" s="11">
        <v>30</v>
      </c>
      <c r="K178" s="67"/>
    </row>
    <row r="179" spans="1:11" x14ac:dyDescent="0.3">
      <c r="A179" s="10">
        <v>1178</v>
      </c>
      <c r="B179" s="2">
        <v>46082</v>
      </c>
      <c r="C179" s="37" t="s">
        <v>28</v>
      </c>
      <c r="D179" s="1" t="s">
        <v>10</v>
      </c>
      <c r="E179" s="1" t="s">
        <v>7</v>
      </c>
      <c r="F179" s="1" t="s">
        <v>21</v>
      </c>
      <c r="G179" s="1">
        <v>6</v>
      </c>
      <c r="H179" s="3">
        <v>20</v>
      </c>
      <c r="I179" s="1">
        <v>0</v>
      </c>
      <c r="J179" s="11">
        <v>120</v>
      </c>
      <c r="K179" s="67"/>
    </row>
    <row r="180" spans="1:11" x14ac:dyDescent="0.3">
      <c r="A180" s="10">
        <v>1179</v>
      </c>
      <c r="B180" s="2">
        <v>46064</v>
      </c>
      <c r="C180" s="37" t="s">
        <v>56</v>
      </c>
      <c r="D180" s="1" t="s">
        <v>10</v>
      </c>
      <c r="E180" s="1" t="s">
        <v>7</v>
      </c>
      <c r="F180" s="1" t="s">
        <v>21</v>
      </c>
      <c r="G180" s="1">
        <v>6</v>
      </c>
      <c r="H180" s="3">
        <v>50</v>
      </c>
      <c r="I180" s="1">
        <v>0</v>
      </c>
      <c r="J180" s="11">
        <v>300</v>
      </c>
      <c r="K180" s="67"/>
    </row>
    <row r="181" spans="1:11" x14ac:dyDescent="0.3">
      <c r="A181" s="10">
        <v>1180</v>
      </c>
      <c r="B181" s="2">
        <v>46146</v>
      </c>
      <c r="C181" s="37" t="s">
        <v>43</v>
      </c>
      <c r="D181" s="1" t="s">
        <v>10</v>
      </c>
      <c r="E181" s="1" t="s">
        <v>7</v>
      </c>
      <c r="F181" s="1" t="s">
        <v>21</v>
      </c>
      <c r="G181" s="1">
        <v>2</v>
      </c>
      <c r="H181" s="3">
        <v>10</v>
      </c>
      <c r="I181" s="1">
        <v>0</v>
      </c>
      <c r="J181" s="11">
        <v>20</v>
      </c>
      <c r="K181" s="67"/>
    </row>
    <row r="182" spans="1:11" x14ac:dyDescent="0.3">
      <c r="A182" s="10">
        <v>1181</v>
      </c>
      <c r="B182" s="2">
        <v>46071</v>
      </c>
      <c r="C182" s="37" t="s">
        <v>27</v>
      </c>
      <c r="D182" s="1" t="s">
        <v>10</v>
      </c>
      <c r="E182" s="1" t="s">
        <v>7</v>
      </c>
      <c r="F182" s="1" t="s">
        <v>8</v>
      </c>
      <c r="G182" s="1">
        <v>10</v>
      </c>
      <c r="H182" s="3">
        <v>50</v>
      </c>
      <c r="I182" s="1">
        <v>0</v>
      </c>
      <c r="J182" s="11">
        <v>500</v>
      </c>
      <c r="K182" s="67"/>
    </row>
    <row r="183" spans="1:11" x14ac:dyDescent="0.3">
      <c r="A183" s="10">
        <v>1182</v>
      </c>
      <c r="B183" s="2">
        <v>46062</v>
      </c>
      <c r="C183" s="37" t="s">
        <v>56</v>
      </c>
      <c r="D183" s="1" t="s">
        <v>10</v>
      </c>
      <c r="E183" s="1" t="s">
        <v>11</v>
      </c>
      <c r="F183" s="1" t="s">
        <v>12</v>
      </c>
      <c r="G183" s="1">
        <v>1</v>
      </c>
      <c r="H183" s="3">
        <v>10</v>
      </c>
      <c r="I183" s="1">
        <v>0</v>
      </c>
      <c r="J183" s="11">
        <v>10</v>
      </c>
      <c r="K183" s="67"/>
    </row>
    <row r="184" spans="1:11" x14ac:dyDescent="0.3">
      <c r="A184" s="10">
        <v>1183</v>
      </c>
      <c r="B184" s="2">
        <v>46086</v>
      </c>
      <c r="C184" s="37" t="s">
        <v>43</v>
      </c>
      <c r="D184" s="1" t="s">
        <v>10</v>
      </c>
      <c r="E184" s="1" t="s">
        <v>16</v>
      </c>
      <c r="F184" s="1" t="s">
        <v>20</v>
      </c>
      <c r="G184" s="1">
        <v>4</v>
      </c>
      <c r="H184" s="3">
        <v>50</v>
      </c>
      <c r="I184" s="1">
        <v>0</v>
      </c>
      <c r="J184" s="11">
        <v>200</v>
      </c>
      <c r="K184" s="67"/>
    </row>
    <row r="185" spans="1:11" x14ac:dyDescent="0.3">
      <c r="A185" s="10">
        <v>1184</v>
      </c>
      <c r="B185" s="2">
        <v>46024</v>
      </c>
      <c r="C185" s="37" t="s">
        <v>22</v>
      </c>
      <c r="D185" s="1" t="s">
        <v>6</v>
      </c>
      <c r="E185" s="1" t="s">
        <v>16</v>
      </c>
      <c r="F185" s="1" t="s">
        <v>17</v>
      </c>
      <c r="G185" s="1">
        <v>3</v>
      </c>
      <c r="H185" s="3">
        <v>20</v>
      </c>
      <c r="I185" s="1">
        <v>0</v>
      </c>
      <c r="J185" s="11">
        <v>60</v>
      </c>
      <c r="K185" s="67"/>
    </row>
    <row r="186" spans="1:11" x14ac:dyDescent="0.3">
      <c r="A186" s="10">
        <v>1185</v>
      </c>
      <c r="B186" s="2">
        <v>46162</v>
      </c>
      <c r="C186" s="37" t="s">
        <v>32</v>
      </c>
      <c r="D186" s="1" t="s">
        <v>15</v>
      </c>
      <c r="E186" s="1" t="s">
        <v>16</v>
      </c>
      <c r="F186" s="1" t="s">
        <v>20</v>
      </c>
      <c r="G186" s="1">
        <v>4</v>
      </c>
      <c r="H186" s="3">
        <v>5</v>
      </c>
      <c r="I186" s="1">
        <v>0</v>
      </c>
      <c r="J186" s="11">
        <v>20</v>
      </c>
      <c r="K186" s="67"/>
    </row>
    <row r="187" spans="1:11" x14ac:dyDescent="0.3">
      <c r="A187" s="10">
        <v>1186</v>
      </c>
      <c r="B187" s="2">
        <v>46151</v>
      </c>
      <c r="C187" s="37" t="s">
        <v>37</v>
      </c>
      <c r="D187" s="1" t="s">
        <v>15</v>
      </c>
      <c r="E187" s="1" t="s">
        <v>7</v>
      </c>
      <c r="F187" s="1" t="s">
        <v>8</v>
      </c>
      <c r="G187" s="1">
        <v>2</v>
      </c>
      <c r="H187" s="3">
        <v>100</v>
      </c>
      <c r="I187" s="1">
        <v>0</v>
      </c>
      <c r="J187" s="11">
        <v>200</v>
      </c>
      <c r="K187" s="67"/>
    </row>
    <row r="188" spans="1:11" x14ac:dyDescent="0.3">
      <c r="A188" s="10">
        <v>1187</v>
      </c>
      <c r="B188" s="2">
        <v>46054</v>
      </c>
      <c r="C188" s="37" t="s">
        <v>35</v>
      </c>
      <c r="D188" s="1" t="s">
        <v>10</v>
      </c>
      <c r="E188" s="1" t="s">
        <v>11</v>
      </c>
      <c r="F188" s="1" t="s">
        <v>12</v>
      </c>
      <c r="G188" s="1">
        <v>3</v>
      </c>
      <c r="H188" s="3">
        <v>20</v>
      </c>
      <c r="I188" s="1">
        <v>5</v>
      </c>
      <c r="J188" s="11">
        <v>57</v>
      </c>
      <c r="K188" s="67"/>
    </row>
    <row r="189" spans="1:11" x14ac:dyDescent="0.3">
      <c r="A189" s="10">
        <v>1188</v>
      </c>
      <c r="B189" s="2">
        <v>46064</v>
      </c>
      <c r="C189" s="37" t="s">
        <v>18</v>
      </c>
      <c r="D189" s="1" t="s">
        <v>10</v>
      </c>
      <c r="E189" s="1" t="s">
        <v>7</v>
      </c>
      <c r="F189" s="1" t="s">
        <v>21</v>
      </c>
      <c r="G189" s="1">
        <v>3</v>
      </c>
      <c r="H189" s="3">
        <v>5</v>
      </c>
      <c r="I189" s="1">
        <v>0</v>
      </c>
      <c r="J189" s="11">
        <v>15</v>
      </c>
      <c r="K189" s="67"/>
    </row>
    <row r="190" spans="1:11" x14ac:dyDescent="0.3">
      <c r="A190" s="10">
        <v>1189</v>
      </c>
      <c r="B190" s="2">
        <v>46060</v>
      </c>
      <c r="C190" s="37" t="s">
        <v>23</v>
      </c>
      <c r="D190" s="1" t="s">
        <v>15</v>
      </c>
      <c r="E190" s="1" t="s">
        <v>7</v>
      </c>
      <c r="F190" s="1" t="s">
        <v>8</v>
      </c>
      <c r="G190" s="1">
        <v>3</v>
      </c>
      <c r="H190" s="3">
        <v>100</v>
      </c>
      <c r="I190" s="1">
        <v>0</v>
      </c>
      <c r="J190" s="11">
        <v>300</v>
      </c>
      <c r="K190" s="67"/>
    </row>
    <row r="191" spans="1:11" x14ac:dyDescent="0.3">
      <c r="A191" s="10">
        <v>1190</v>
      </c>
      <c r="B191" s="2">
        <v>46134</v>
      </c>
      <c r="C191" s="37" t="s">
        <v>52</v>
      </c>
      <c r="D191" s="1" t="s">
        <v>14</v>
      </c>
      <c r="E191" s="1" t="s">
        <v>11</v>
      </c>
      <c r="F191" s="1" t="s">
        <v>12</v>
      </c>
      <c r="G191" s="1">
        <v>9</v>
      </c>
      <c r="H191" s="3">
        <v>100</v>
      </c>
      <c r="I191" s="1">
        <v>10</v>
      </c>
      <c r="J191" s="11">
        <v>810</v>
      </c>
      <c r="K191" s="67"/>
    </row>
    <row r="192" spans="1:11" x14ac:dyDescent="0.3">
      <c r="A192" s="10">
        <v>1191</v>
      </c>
      <c r="B192" s="2">
        <v>46121</v>
      </c>
      <c r="C192" s="37" t="s">
        <v>50</v>
      </c>
      <c r="D192" s="1" t="s">
        <v>10</v>
      </c>
      <c r="E192" s="1" t="s">
        <v>16</v>
      </c>
      <c r="F192" s="1" t="s">
        <v>17</v>
      </c>
      <c r="G192" s="1">
        <v>10</v>
      </c>
      <c r="H192" s="3">
        <v>20</v>
      </c>
      <c r="I192" s="1">
        <v>0</v>
      </c>
      <c r="J192" s="11">
        <v>200</v>
      </c>
      <c r="K192" s="67"/>
    </row>
    <row r="193" spans="1:11" x14ac:dyDescent="0.3">
      <c r="A193" s="10">
        <v>1192</v>
      </c>
      <c r="B193" s="2">
        <v>46163</v>
      </c>
      <c r="C193" s="37" t="s">
        <v>56</v>
      </c>
      <c r="D193" s="1" t="s">
        <v>14</v>
      </c>
      <c r="E193" s="1" t="s">
        <v>16</v>
      </c>
      <c r="F193" s="1" t="s">
        <v>20</v>
      </c>
      <c r="G193" s="1">
        <v>10</v>
      </c>
      <c r="H193" s="3">
        <v>50</v>
      </c>
      <c r="I193" s="1">
        <v>5</v>
      </c>
      <c r="J193" s="11">
        <v>475</v>
      </c>
      <c r="K193" s="67"/>
    </row>
    <row r="194" spans="1:11" x14ac:dyDescent="0.3">
      <c r="A194" s="10">
        <v>1193</v>
      </c>
      <c r="B194" s="2">
        <v>46175</v>
      </c>
      <c r="C194" s="37" t="s">
        <v>40</v>
      </c>
      <c r="D194" s="1" t="s">
        <v>14</v>
      </c>
      <c r="E194" s="1" t="s">
        <v>7</v>
      </c>
      <c r="F194" s="1" t="s">
        <v>8</v>
      </c>
      <c r="G194" s="1">
        <v>2</v>
      </c>
      <c r="H194" s="3">
        <v>5</v>
      </c>
      <c r="I194" s="1">
        <v>5</v>
      </c>
      <c r="J194" s="11">
        <v>9.5</v>
      </c>
      <c r="K194" s="67"/>
    </row>
    <row r="195" spans="1:11" x14ac:dyDescent="0.3">
      <c r="A195" s="10">
        <v>1194</v>
      </c>
      <c r="B195" s="2">
        <v>46095</v>
      </c>
      <c r="C195" s="37" t="s">
        <v>41</v>
      </c>
      <c r="D195" s="1" t="s">
        <v>15</v>
      </c>
      <c r="E195" s="1" t="s">
        <v>16</v>
      </c>
      <c r="F195" s="1" t="s">
        <v>20</v>
      </c>
      <c r="G195" s="1">
        <v>5</v>
      </c>
      <c r="H195" s="3">
        <v>20</v>
      </c>
      <c r="I195" s="1">
        <v>10</v>
      </c>
      <c r="J195" s="11">
        <v>90</v>
      </c>
      <c r="K195" s="67"/>
    </row>
    <row r="196" spans="1:11" x14ac:dyDescent="0.3">
      <c r="A196" s="10">
        <v>1195</v>
      </c>
      <c r="B196" s="2">
        <v>46201</v>
      </c>
      <c r="C196" s="37" t="s">
        <v>37</v>
      </c>
      <c r="D196" s="1" t="s">
        <v>14</v>
      </c>
      <c r="E196" s="1" t="s">
        <v>16</v>
      </c>
      <c r="F196" s="1" t="s">
        <v>17</v>
      </c>
      <c r="G196" s="1">
        <v>2</v>
      </c>
      <c r="H196" s="3">
        <v>5</v>
      </c>
      <c r="I196" s="1">
        <v>0</v>
      </c>
      <c r="J196" s="11">
        <v>10</v>
      </c>
      <c r="K196" s="67"/>
    </row>
    <row r="197" spans="1:11" x14ac:dyDescent="0.3">
      <c r="A197" s="10">
        <v>1196</v>
      </c>
      <c r="B197" s="2">
        <v>46160</v>
      </c>
      <c r="C197" s="37" t="s">
        <v>48</v>
      </c>
      <c r="D197" s="1" t="s">
        <v>10</v>
      </c>
      <c r="E197" s="1" t="s">
        <v>7</v>
      </c>
      <c r="F197" s="1" t="s">
        <v>8</v>
      </c>
      <c r="G197" s="1">
        <v>5</v>
      </c>
      <c r="H197" s="3">
        <v>50</v>
      </c>
      <c r="I197" s="1">
        <v>0</v>
      </c>
      <c r="J197" s="11">
        <v>250</v>
      </c>
      <c r="K197" s="67"/>
    </row>
    <row r="198" spans="1:11" x14ac:dyDescent="0.3">
      <c r="A198" s="10">
        <v>1197</v>
      </c>
      <c r="B198" s="2">
        <v>46121</v>
      </c>
      <c r="C198" s="37" t="s">
        <v>9</v>
      </c>
      <c r="D198" s="1" t="s">
        <v>15</v>
      </c>
      <c r="E198" s="1" t="s">
        <v>7</v>
      </c>
      <c r="F198" s="1" t="s">
        <v>8</v>
      </c>
      <c r="G198" s="1">
        <v>5</v>
      </c>
      <c r="H198" s="3">
        <v>20</v>
      </c>
      <c r="I198" s="1">
        <v>0</v>
      </c>
      <c r="J198" s="11">
        <v>100</v>
      </c>
      <c r="K198" s="67"/>
    </row>
    <row r="199" spans="1:11" x14ac:dyDescent="0.3">
      <c r="A199" s="10">
        <v>1198</v>
      </c>
      <c r="B199" s="2">
        <v>46185</v>
      </c>
      <c r="C199" s="37" t="s">
        <v>31</v>
      </c>
      <c r="D199" s="1" t="s">
        <v>14</v>
      </c>
      <c r="E199" s="1" t="s">
        <v>11</v>
      </c>
      <c r="F199" s="1" t="s">
        <v>12</v>
      </c>
      <c r="G199" s="1">
        <v>2</v>
      </c>
      <c r="H199" s="3">
        <v>50</v>
      </c>
      <c r="I199" s="1">
        <v>5</v>
      </c>
      <c r="J199" s="11">
        <v>95</v>
      </c>
      <c r="K199" s="67"/>
    </row>
    <row r="200" spans="1:11" x14ac:dyDescent="0.3">
      <c r="A200" s="10">
        <v>1199</v>
      </c>
      <c r="B200" s="2">
        <v>46124</v>
      </c>
      <c r="C200" s="37" t="s">
        <v>46</v>
      </c>
      <c r="D200" s="1" t="s">
        <v>14</v>
      </c>
      <c r="E200" s="1" t="s">
        <v>11</v>
      </c>
      <c r="F200" s="1" t="s">
        <v>12</v>
      </c>
      <c r="G200" s="1">
        <v>10</v>
      </c>
      <c r="H200" s="3">
        <v>10</v>
      </c>
      <c r="I200" s="1">
        <v>5</v>
      </c>
      <c r="J200" s="11">
        <v>95</v>
      </c>
      <c r="K200" s="67"/>
    </row>
    <row r="201" spans="1:11" x14ac:dyDescent="0.3">
      <c r="A201" s="21">
        <v>1200</v>
      </c>
      <c r="B201" s="15">
        <v>46055</v>
      </c>
      <c r="C201" s="39" t="s">
        <v>37</v>
      </c>
      <c r="D201" s="16" t="s">
        <v>6</v>
      </c>
      <c r="E201" s="16" t="s">
        <v>16</v>
      </c>
      <c r="F201" s="16" t="s">
        <v>17</v>
      </c>
      <c r="G201" s="16">
        <v>6</v>
      </c>
      <c r="H201" s="17">
        <v>20</v>
      </c>
      <c r="I201" s="16">
        <v>10</v>
      </c>
      <c r="J201" s="18">
        <v>108</v>
      </c>
      <c r="K201" s="67"/>
    </row>
    <row r="204" spans="1:11" ht="18" x14ac:dyDescent="0.35">
      <c r="A204" s="57" t="s">
        <v>76</v>
      </c>
    </row>
    <row r="206" spans="1:11" ht="18" customHeight="1" x14ac:dyDescent="0.3">
      <c r="A206" s="83" t="s">
        <v>62</v>
      </c>
      <c r="B206" s="84"/>
      <c r="C206" s="84"/>
      <c r="D206" s="84"/>
      <c r="E206" s="85"/>
    </row>
    <row r="207" spans="1:11" ht="15.6" customHeight="1" x14ac:dyDescent="0.3">
      <c r="A207" s="86"/>
      <c r="B207" s="87"/>
      <c r="C207" s="87"/>
      <c r="D207" s="87"/>
      <c r="E207" s="88"/>
    </row>
    <row r="208" spans="1:11" ht="15.6" x14ac:dyDescent="0.3">
      <c r="A208" s="8" t="s">
        <v>63</v>
      </c>
      <c r="B208" s="9"/>
      <c r="C208" s="9"/>
      <c r="D208" s="89">
        <f>COUNTA(A2:A201)</f>
        <v>200</v>
      </c>
      <c r="E208" s="90"/>
    </row>
    <row r="209" spans="1:5" ht="15.6" x14ac:dyDescent="0.3">
      <c r="A209" s="7" t="s">
        <v>64</v>
      </c>
      <c r="B209" s="6"/>
      <c r="C209" s="6"/>
      <c r="D209" s="91">
        <f>COUNTA(A199:J199)</f>
        <v>10</v>
      </c>
      <c r="E209" s="91"/>
    </row>
    <row r="210" spans="1:5" ht="15.6" x14ac:dyDescent="0.3">
      <c r="A210" s="7" t="s">
        <v>65</v>
      </c>
      <c r="B210" s="6"/>
      <c r="C210" s="6"/>
      <c r="D210" s="91">
        <v>1</v>
      </c>
      <c r="E210" s="91"/>
    </row>
    <row r="211" spans="1:5" ht="15.6" x14ac:dyDescent="0.3">
      <c r="A211" s="7" t="s">
        <v>66</v>
      </c>
      <c r="B211" s="6"/>
      <c r="C211" s="6"/>
      <c r="D211" s="91">
        <v>1</v>
      </c>
      <c r="E211" s="91"/>
    </row>
    <row r="212" spans="1:5" ht="15.6" x14ac:dyDescent="0.3">
      <c r="A212" s="7" t="s">
        <v>67</v>
      </c>
      <c r="B212" s="6"/>
      <c r="C212" s="6"/>
      <c r="D212" s="91">
        <v>0</v>
      </c>
      <c r="E212" s="91"/>
    </row>
    <row r="213" spans="1:5" ht="15.6" x14ac:dyDescent="0.3">
      <c r="A213" s="7" t="s">
        <v>68</v>
      </c>
      <c r="B213" s="6"/>
      <c r="C213" s="6"/>
      <c r="D213" s="91">
        <v>0</v>
      </c>
      <c r="E213" s="91"/>
    </row>
    <row r="214" spans="1:5" ht="15.6" x14ac:dyDescent="0.3">
      <c r="A214" s="92" t="s">
        <v>69</v>
      </c>
      <c r="B214" s="93"/>
      <c r="C214" s="93"/>
      <c r="D214" s="93"/>
      <c r="E214" s="94"/>
    </row>
    <row r="215" spans="1:5" ht="15.6" customHeight="1" x14ac:dyDescent="0.3">
      <c r="A215" s="95" t="s">
        <v>70</v>
      </c>
      <c r="B215" s="96"/>
      <c r="C215" s="96"/>
      <c r="D215" s="96"/>
      <c r="E215" s="97"/>
    </row>
    <row r="216" spans="1:5" ht="15.6" customHeight="1" x14ac:dyDescent="0.3">
      <c r="A216" s="98"/>
      <c r="B216" s="99"/>
      <c r="C216" s="99"/>
      <c r="D216" s="99"/>
      <c r="E216" s="100"/>
    </row>
    <row r="217" spans="1:5" ht="15.6" customHeight="1" x14ac:dyDescent="0.3">
      <c r="A217" s="98"/>
      <c r="B217" s="99"/>
      <c r="C217" s="99"/>
      <c r="D217" s="99"/>
      <c r="E217" s="100"/>
    </row>
    <row r="218" spans="1:5" ht="15.6" customHeight="1" x14ac:dyDescent="0.3">
      <c r="A218" s="98"/>
      <c r="B218" s="99"/>
      <c r="C218" s="99"/>
      <c r="D218" s="99"/>
      <c r="E218" s="100"/>
    </row>
    <row r="219" spans="1:5" ht="15.6" customHeight="1" x14ac:dyDescent="0.3">
      <c r="A219" s="98"/>
      <c r="B219" s="99"/>
      <c r="C219" s="99"/>
      <c r="D219" s="99"/>
      <c r="E219" s="100"/>
    </row>
    <row r="220" spans="1:5" ht="15.6" customHeight="1" x14ac:dyDescent="0.3">
      <c r="A220" s="98"/>
      <c r="B220" s="99"/>
      <c r="C220" s="99"/>
      <c r="D220" s="99"/>
      <c r="E220" s="100"/>
    </row>
    <row r="221" spans="1:5" ht="15.6" customHeight="1" x14ac:dyDescent="0.3">
      <c r="A221" s="101"/>
      <c r="B221" s="102"/>
      <c r="C221" s="102"/>
      <c r="D221" s="102"/>
      <c r="E221" s="103"/>
    </row>
    <row r="222" spans="1:5" ht="15.6" x14ac:dyDescent="0.3">
      <c r="A222" s="5"/>
      <c r="B222" s="5"/>
      <c r="C222" s="5"/>
      <c r="D222" s="5"/>
      <c r="E222" s="5"/>
    </row>
    <row r="223" spans="1:5" ht="18" x14ac:dyDescent="0.35">
      <c r="A223" s="57" t="s">
        <v>77</v>
      </c>
      <c r="B223" s="5"/>
      <c r="C223" s="5"/>
      <c r="D223" s="5"/>
      <c r="E223" s="5"/>
    </row>
    <row r="224" spans="1:5" ht="18" x14ac:dyDescent="0.35">
      <c r="A224" s="23"/>
      <c r="B224" s="5"/>
      <c r="C224" s="5"/>
      <c r="D224" s="5"/>
      <c r="E224" s="5"/>
    </row>
    <row r="225" spans="1:11" ht="18" x14ac:dyDescent="0.35">
      <c r="A225" s="104" t="s">
        <v>79</v>
      </c>
      <c r="B225" s="104"/>
      <c r="C225" s="104"/>
      <c r="D225" s="104"/>
      <c r="E225" s="104"/>
      <c r="F225" s="104"/>
      <c r="G225" s="104"/>
      <c r="H225" s="104"/>
      <c r="I225" s="104"/>
    </row>
    <row r="226" spans="1:11" x14ac:dyDescent="0.3">
      <c r="D226" s="4"/>
    </row>
    <row r="227" spans="1:11" ht="19.95" customHeight="1" x14ac:dyDescent="0.3">
      <c r="A227" s="27">
        <v>1</v>
      </c>
      <c r="B227" s="28" t="s">
        <v>74</v>
      </c>
      <c r="C227" s="28"/>
      <c r="D227" s="29"/>
      <c r="E227" s="30"/>
      <c r="F227" s="30"/>
      <c r="G227" s="30"/>
      <c r="H227" s="30"/>
      <c r="I227" s="31"/>
    </row>
    <row r="228" spans="1:11" ht="19.95" customHeight="1" x14ac:dyDescent="0.3">
      <c r="A228" s="27">
        <v>2</v>
      </c>
      <c r="B228" s="28" t="s">
        <v>72</v>
      </c>
      <c r="C228" s="28"/>
      <c r="D228" s="29"/>
      <c r="E228" s="30"/>
      <c r="F228" s="30"/>
      <c r="G228" s="30"/>
      <c r="H228" s="30"/>
      <c r="I228" s="31"/>
    </row>
    <row r="229" spans="1:11" ht="19.95" customHeight="1" x14ac:dyDescent="0.3">
      <c r="A229" s="27">
        <v>3</v>
      </c>
      <c r="B229" s="28" t="s">
        <v>73</v>
      </c>
      <c r="C229" s="28"/>
      <c r="D229" s="29"/>
      <c r="E229" s="30"/>
      <c r="F229" s="30"/>
      <c r="G229" s="30"/>
      <c r="H229" s="30"/>
      <c r="I229" s="31"/>
    </row>
    <row r="230" spans="1:11" ht="19.95" customHeight="1" x14ac:dyDescent="0.3">
      <c r="A230" s="26">
        <v>4</v>
      </c>
      <c r="B230" s="24" t="s">
        <v>75</v>
      </c>
      <c r="C230" s="19"/>
      <c r="D230" s="25"/>
      <c r="E230" s="19"/>
      <c r="F230" s="19"/>
      <c r="G230" s="19"/>
      <c r="H230" s="19"/>
      <c r="I230" s="20"/>
    </row>
    <row r="231" spans="1:11" ht="19.95" customHeight="1" x14ac:dyDescent="0.3">
      <c r="A231" s="32"/>
      <c r="B231" s="33"/>
      <c r="C231" s="34"/>
      <c r="D231" s="35"/>
      <c r="E231" s="34"/>
      <c r="F231" s="34"/>
      <c r="G231" s="34"/>
      <c r="H231" s="34"/>
      <c r="I231" s="34"/>
    </row>
    <row r="232" spans="1:11" ht="19.8" customHeight="1" x14ac:dyDescent="0.3">
      <c r="A232" s="75" t="s">
        <v>78</v>
      </c>
      <c r="B232" s="75"/>
      <c r="C232" s="75"/>
      <c r="D232" s="75"/>
      <c r="E232" s="75"/>
      <c r="F232" s="75"/>
      <c r="G232" s="75"/>
      <c r="H232" s="75"/>
      <c r="I232" s="75"/>
    </row>
    <row r="233" spans="1:11" s="60" customFormat="1" ht="19.8" customHeight="1" x14ac:dyDescent="0.3">
      <c r="A233" s="58"/>
      <c r="B233" s="58"/>
      <c r="C233" s="58"/>
      <c r="D233" s="58"/>
      <c r="E233" s="58"/>
      <c r="F233" s="58"/>
      <c r="G233" s="58"/>
      <c r="H233" s="58"/>
      <c r="I233" s="58"/>
      <c r="J233" s="59"/>
      <c r="K233" s="59"/>
    </row>
    <row r="234" spans="1:11" ht="15.6" x14ac:dyDescent="0.3">
      <c r="A234" s="5"/>
      <c r="B234" s="5"/>
      <c r="C234" s="5"/>
      <c r="D234" s="5"/>
      <c r="E234" s="5"/>
    </row>
    <row r="235" spans="1:11" ht="18" x14ac:dyDescent="0.35">
      <c r="A235" s="61" t="s">
        <v>80</v>
      </c>
      <c r="B235" s="5"/>
      <c r="C235" s="5"/>
      <c r="D235" s="5"/>
      <c r="E235" s="5"/>
    </row>
    <row r="236" spans="1:11" ht="15.6" x14ac:dyDescent="0.3">
      <c r="A236" s="5"/>
      <c r="B236" s="5"/>
      <c r="C236" s="5"/>
      <c r="D236" s="5"/>
      <c r="E236" s="5"/>
    </row>
    <row r="237" spans="1:11" ht="24.6" customHeight="1" x14ac:dyDescent="0.3">
      <c r="A237" s="62" t="s">
        <v>96</v>
      </c>
      <c r="B237" s="5"/>
      <c r="C237" s="5"/>
      <c r="D237" s="5"/>
      <c r="E237" s="5"/>
    </row>
    <row r="238" spans="1:11" ht="14.4" customHeight="1" x14ac:dyDescent="0.3">
      <c r="A238" s="105" t="s">
        <v>97</v>
      </c>
      <c r="B238" s="105"/>
      <c r="C238" s="105"/>
      <c r="D238" s="105"/>
      <c r="E238" s="105"/>
      <c r="F238" s="105"/>
      <c r="G238" s="105"/>
      <c r="H238" s="105"/>
      <c r="I238" s="105"/>
    </row>
    <row r="239" spans="1:11" ht="14.4" customHeight="1" x14ac:dyDescent="0.3">
      <c r="A239" s="105"/>
      <c r="B239" s="105"/>
      <c r="C239" s="105"/>
      <c r="D239" s="105"/>
      <c r="E239" s="105"/>
      <c r="F239" s="105"/>
      <c r="G239" s="105"/>
      <c r="H239" s="105"/>
      <c r="I239" s="105"/>
    </row>
    <row r="240" spans="1:11" ht="14.4" customHeight="1" x14ac:dyDescent="0.3">
      <c r="A240" s="105"/>
      <c r="B240" s="105"/>
      <c r="C240" s="105"/>
      <c r="D240" s="105"/>
      <c r="E240" s="105"/>
      <c r="F240" s="105"/>
      <c r="G240" s="105"/>
      <c r="H240" s="105"/>
      <c r="I240" s="105"/>
    </row>
    <row r="241" spans="1:11" ht="15.6" customHeight="1" x14ac:dyDescent="0.3">
      <c r="A241" s="105"/>
      <c r="B241" s="105"/>
      <c r="C241" s="105"/>
      <c r="D241" s="105"/>
      <c r="E241" s="105"/>
      <c r="F241" s="105"/>
      <c r="G241" s="105"/>
      <c r="H241" s="105"/>
      <c r="I241" s="105"/>
    </row>
    <row r="242" spans="1:11" ht="15.6" x14ac:dyDescent="0.3">
      <c r="B242" s="5"/>
      <c r="C242" s="5"/>
      <c r="D242" s="5"/>
      <c r="E242" s="5"/>
    </row>
    <row r="243" spans="1:11" ht="15.6" x14ac:dyDescent="0.3">
      <c r="A243" s="5"/>
      <c r="B243" s="5"/>
      <c r="C243" s="5"/>
      <c r="D243" s="5"/>
      <c r="E243" s="5"/>
    </row>
    <row r="244" spans="1:11" s="63" customFormat="1" ht="25.8" customHeight="1" x14ac:dyDescent="0.3">
      <c r="A244" s="107" t="s">
        <v>98</v>
      </c>
      <c r="B244" s="107"/>
      <c r="C244" s="107"/>
      <c r="D244" s="107"/>
      <c r="E244" s="107"/>
      <c r="F244" s="107"/>
      <c r="G244" s="107"/>
      <c r="H244" s="107"/>
      <c r="I244" s="107"/>
      <c r="J244" s="64"/>
      <c r="K244" s="64"/>
    </row>
    <row r="245" spans="1:11" ht="15.6" customHeight="1" x14ac:dyDescent="0.3"/>
    <row r="246" spans="1:11" ht="15.6" customHeight="1" x14ac:dyDescent="0.3">
      <c r="A246" s="106" t="s">
        <v>101</v>
      </c>
      <c r="B246" s="106"/>
      <c r="C246" s="106"/>
      <c r="D246" s="106"/>
      <c r="E246" s="106"/>
      <c r="F246" s="106"/>
      <c r="G246" s="106"/>
      <c r="H246" s="106"/>
      <c r="I246" s="106"/>
    </row>
    <row r="247" spans="1:11" ht="15.6" customHeight="1" x14ac:dyDescent="0.3">
      <c r="A247" s="106"/>
      <c r="B247" s="106"/>
      <c r="C247" s="106"/>
      <c r="D247" s="106"/>
      <c r="E247" s="106"/>
      <c r="F247" s="106"/>
      <c r="G247" s="106"/>
      <c r="H247" s="106"/>
      <c r="I247" s="106"/>
    </row>
    <row r="248" spans="1:11" ht="15.6" customHeight="1" x14ac:dyDescent="0.3">
      <c r="A248" s="106"/>
      <c r="B248" s="106"/>
      <c r="C248" s="106"/>
      <c r="D248" s="106"/>
      <c r="E248" s="106"/>
      <c r="F248" s="106"/>
      <c r="G248" s="106"/>
      <c r="H248" s="106"/>
      <c r="I248" s="106"/>
    </row>
    <row r="249" spans="1:11" ht="15.6" customHeight="1" x14ac:dyDescent="0.3">
      <c r="A249" s="65"/>
      <c r="B249" s="65"/>
      <c r="C249" s="65"/>
      <c r="D249" s="65"/>
      <c r="E249" s="65"/>
      <c r="F249" s="65"/>
      <c r="G249" s="65"/>
      <c r="H249" s="65"/>
      <c r="I249" s="65"/>
    </row>
    <row r="250" spans="1:11" ht="15.6" customHeight="1" x14ac:dyDescent="0.3">
      <c r="A250" s="106" t="s">
        <v>99</v>
      </c>
      <c r="B250" s="106"/>
      <c r="C250" s="106"/>
      <c r="D250" s="106"/>
      <c r="E250" s="106"/>
      <c r="F250" s="106"/>
      <c r="G250" s="106"/>
      <c r="H250" s="106"/>
      <c r="I250" s="106"/>
    </row>
    <row r="251" spans="1:11" ht="15.6" customHeight="1" x14ac:dyDescent="0.3">
      <c r="A251" s="106"/>
      <c r="B251" s="106"/>
      <c r="C251" s="106"/>
      <c r="D251" s="106"/>
      <c r="E251" s="106"/>
      <c r="F251" s="106"/>
      <c r="G251" s="106"/>
      <c r="H251" s="106"/>
      <c r="I251" s="106"/>
    </row>
    <row r="252" spans="1:11" ht="15.6" customHeight="1" x14ac:dyDescent="0.3">
      <c r="A252" s="106"/>
      <c r="B252" s="106"/>
      <c r="C252" s="106"/>
      <c r="D252" s="106"/>
      <c r="E252" s="106"/>
      <c r="F252" s="106"/>
      <c r="G252" s="106"/>
      <c r="H252" s="106"/>
      <c r="I252" s="106"/>
    </row>
    <row r="253" spans="1:11" ht="15.6" customHeight="1" x14ac:dyDescent="0.3">
      <c r="A253" s="106"/>
      <c r="B253" s="106"/>
      <c r="C253" s="106"/>
      <c r="D253" s="106"/>
      <c r="E253" s="106"/>
      <c r="F253" s="106"/>
      <c r="G253" s="106"/>
      <c r="H253" s="106"/>
      <c r="I253" s="106"/>
    </row>
    <row r="254" spans="1:11" ht="15.6" customHeight="1" x14ac:dyDescent="0.3">
      <c r="A254" s="106"/>
      <c r="B254" s="106"/>
      <c r="C254" s="106"/>
      <c r="D254" s="106"/>
      <c r="E254" s="106"/>
      <c r="F254" s="106"/>
      <c r="G254" s="106"/>
      <c r="H254" s="106"/>
      <c r="I254" s="106"/>
    </row>
    <row r="255" spans="1:11" ht="15.6" customHeight="1" x14ac:dyDescent="0.3">
      <c r="A255" s="106"/>
      <c r="B255" s="106"/>
      <c r="C255" s="106"/>
      <c r="D255" s="106"/>
      <c r="E255" s="106"/>
      <c r="F255" s="106"/>
      <c r="G255" s="106"/>
      <c r="H255" s="106"/>
      <c r="I255" s="106"/>
    </row>
    <row r="256" spans="1:11" ht="14.4" customHeight="1" x14ac:dyDescent="0.3">
      <c r="A256" s="106"/>
      <c r="B256" s="106"/>
      <c r="C256" s="106"/>
      <c r="D256" s="106"/>
      <c r="E256" s="106"/>
      <c r="F256" s="106"/>
      <c r="G256" s="106"/>
      <c r="H256" s="106"/>
      <c r="I256" s="106"/>
    </row>
    <row r="257" spans="1:9" ht="14.4" customHeight="1" x14ac:dyDescent="0.3">
      <c r="A257" s="106"/>
      <c r="B257" s="106"/>
      <c r="C257" s="106"/>
      <c r="D257" s="106"/>
      <c r="E257" s="106"/>
      <c r="F257" s="106"/>
      <c r="G257" s="106"/>
      <c r="H257" s="106"/>
      <c r="I257" s="106"/>
    </row>
    <row r="258" spans="1:9" ht="14.4" customHeight="1" x14ac:dyDescent="0.3">
      <c r="A258" s="106"/>
      <c r="B258" s="106"/>
      <c r="C258" s="106"/>
      <c r="D258" s="106"/>
      <c r="E258" s="106"/>
      <c r="F258" s="106"/>
      <c r="G258" s="106"/>
      <c r="H258" s="106"/>
      <c r="I258" s="106"/>
    </row>
    <row r="259" spans="1:9" ht="14.4" customHeight="1" x14ac:dyDescent="0.3">
      <c r="A259" s="65"/>
      <c r="B259" s="65"/>
      <c r="C259" s="65"/>
      <c r="D259" s="65"/>
      <c r="E259" s="65"/>
      <c r="F259" s="65"/>
      <c r="G259" s="65"/>
      <c r="H259" s="65"/>
      <c r="I259" s="65"/>
    </row>
    <row r="260" spans="1:9" ht="14.4" customHeight="1" x14ac:dyDescent="0.3">
      <c r="A260" s="106" t="s">
        <v>100</v>
      </c>
      <c r="B260" s="106"/>
      <c r="C260" s="106"/>
      <c r="D260" s="106"/>
      <c r="E260" s="106"/>
      <c r="F260" s="106"/>
      <c r="G260" s="106"/>
      <c r="H260" s="106"/>
      <c r="I260" s="106"/>
    </row>
    <row r="261" spans="1:9" ht="14.4" customHeight="1" x14ac:dyDescent="0.3">
      <c r="A261" s="106"/>
      <c r="B261" s="106"/>
      <c r="C261" s="106"/>
      <c r="D261" s="106"/>
      <c r="E261" s="106"/>
      <c r="F261" s="106"/>
      <c r="G261" s="106"/>
      <c r="H261" s="106"/>
      <c r="I261" s="106"/>
    </row>
    <row r="262" spans="1:9" ht="14.4" customHeight="1" x14ac:dyDescent="0.3">
      <c r="A262" s="106"/>
      <c r="B262" s="106"/>
      <c r="C262" s="106"/>
      <c r="D262" s="106"/>
      <c r="E262" s="106"/>
      <c r="F262" s="106"/>
      <c r="G262" s="106"/>
      <c r="H262" s="106"/>
      <c r="I262" s="106"/>
    </row>
    <row r="263" spans="1:9" ht="14.4" customHeight="1" x14ac:dyDescent="0.3">
      <c r="A263" s="106"/>
      <c r="B263" s="106"/>
      <c r="C263" s="106"/>
      <c r="D263" s="106"/>
      <c r="E263" s="106"/>
      <c r="F263" s="106"/>
      <c r="G263" s="106"/>
      <c r="H263" s="106"/>
      <c r="I263" s="106"/>
    </row>
    <row r="264" spans="1:9" ht="14.4" customHeight="1" x14ac:dyDescent="0.3">
      <c r="A264" s="106"/>
      <c r="B264" s="106"/>
      <c r="C264" s="106"/>
      <c r="D264" s="106"/>
      <c r="E264" s="106"/>
      <c r="F264" s="106"/>
      <c r="G264" s="106"/>
      <c r="H264" s="106"/>
      <c r="I264" s="106"/>
    </row>
    <row r="265" spans="1:9" x14ac:dyDescent="0.3">
      <c r="A265" s="106"/>
      <c r="B265" s="106"/>
      <c r="C265" s="106"/>
      <c r="D265" s="106"/>
      <c r="E265" s="106"/>
      <c r="F265" s="106"/>
      <c r="G265" s="106"/>
      <c r="H265" s="106"/>
      <c r="I265" s="106"/>
    </row>
    <row r="266" spans="1:9" x14ac:dyDescent="0.3">
      <c r="A266" s="106"/>
      <c r="B266" s="106"/>
      <c r="C266" s="106"/>
      <c r="D266" s="106"/>
      <c r="E266" s="106"/>
      <c r="F266" s="106"/>
      <c r="G266" s="106"/>
      <c r="H266" s="106"/>
      <c r="I266" s="106"/>
    </row>
    <row r="267" spans="1:9" x14ac:dyDescent="0.3">
      <c r="A267" s="72"/>
      <c r="B267" s="72"/>
      <c r="C267" s="72"/>
      <c r="D267" s="72"/>
      <c r="E267" s="72"/>
      <c r="F267" s="72"/>
      <c r="G267" s="72"/>
      <c r="H267" s="72"/>
      <c r="I267" s="72"/>
    </row>
    <row r="268" spans="1:9" x14ac:dyDescent="0.3">
      <c r="A268" s="73" t="s">
        <v>156</v>
      </c>
      <c r="B268" s="73"/>
      <c r="C268" s="73"/>
      <c r="D268" s="73"/>
      <c r="E268" s="73"/>
      <c r="F268" s="73"/>
      <c r="G268" s="73"/>
      <c r="H268" s="73"/>
      <c r="I268" s="73"/>
    </row>
    <row r="269" spans="1:9" x14ac:dyDescent="0.3">
      <c r="A269" s="73"/>
      <c r="B269" s="73"/>
      <c r="C269" s="73"/>
      <c r="D269" s="73"/>
      <c r="E269" s="73"/>
      <c r="F269" s="73"/>
      <c r="G269" s="73"/>
      <c r="H269" s="73"/>
      <c r="I269" s="73"/>
    </row>
    <row r="270" spans="1:9" x14ac:dyDescent="0.3">
      <c r="A270" s="74"/>
      <c r="B270" s="74"/>
      <c r="C270" s="74"/>
      <c r="D270" s="74"/>
      <c r="E270" s="74"/>
      <c r="F270" s="74"/>
      <c r="G270" s="74"/>
      <c r="H270" s="74"/>
      <c r="I270" s="74"/>
    </row>
  </sheetData>
  <mergeCells count="21">
    <mergeCell ref="P10:Q11"/>
    <mergeCell ref="A206:E207"/>
    <mergeCell ref="D208:E208"/>
    <mergeCell ref="D209:E209"/>
    <mergeCell ref="D210:E210"/>
    <mergeCell ref="A267:I267"/>
    <mergeCell ref="A268:I269"/>
    <mergeCell ref="A270:I270"/>
    <mergeCell ref="A232:I232"/>
    <mergeCell ref="L3:O4"/>
    <mergeCell ref="D211:E211"/>
    <mergeCell ref="D212:E212"/>
    <mergeCell ref="D213:E213"/>
    <mergeCell ref="A214:E214"/>
    <mergeCell ref="A215:E221"/>
    <mergeCell ref="A225:I225"/>
    <mergeCell ref="A238:I241"/>
    <mergeCell ref="A246:I248"/>
    <mergeCell ref="A250:I258"/>
    <mergeCell ref="A260:I266"/>
    <mergeCell ref="A244:I244"/>
  </mergeCells>
  <conditionalFormatting sqref="A2:A201">
    <cfRule type="duplicateValues" dxfId="0" priority="3"/>
  </conditionalFormatting>
  <pageMargins left="0.5" right="0.5" top="1" bottom="1" header="0.5" footer="0.5"/>
  <pageSetup paperSize="9" scale="55"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E6482-A9F1-4CF9-9DEA-372348D15244}">
  <dimension ref="A1:Q114"/>
  <sheetViews>
    <sheetView tabSelected="1" workbookViewId="0">
      <selection activeCell="G113" sqref="G113"/>
    </sheetView>
  </sheetViews>
  <sheetFormatPr defaultRowHeight="14.4" x14ac:dyDescent="0.3"/>
  <sheetData>
    <row r="1" spans="1:17" ht="31.2" x14ac:dyDescent="0.3">
      <c r="A1" s="109" t="s">
        <v>154</v>
      </c>
      <c r="B1" s="109"/>
      <c r="C1" s="109"/>
      <c r="D1" s="109"/>
      <c r="E1" s="109"/>
      <c r="F1" s="109"/>
      <c r="G1" s="109"/>
      <c r="H1" s="109"/>
      <c r="I1" s="109"/>
      <c r="J1" s="109"/>
      <c r="K1" s="109"/>
      <c r="L1" s="109"/>
      <c r="M1" s="109"/>
      <c r="N1" s="109"/>
      <c r="O1" s="109"/>
      <c r="P1" s="109"/>
      <c r="Q1" s="109"/>
    </row>
    <row r="2" spans="1:17" x14ac:dyDescent="0.3">
      <c r="A2" s="71"/>
      <c r="B2" s="71"/>
      <c r="C2" s="71"/>
      <c r="D2" s="71"/>
      <c r="E2" s="71"/>
      <c r="F2" s="71"/>
      <c r="G2" s="71"/>
      <c r="H2" s="71"/>
      <c r="I2" s="71"/>
      <c r="J2" s="71"/>
      <c r="K2" s="71"/>
      <c r="L2" s="71"/>
      <c r="M2" s="71"/>
      <c r="N2" s="71"/>
      <c r="O2" s="71"/>
      <c r="P2" s="71"/>
      <c r="Q2" s="71"/>
    </row>
    <row r="3" spans="1:17" ht="28.8" x14ac:dyDescent="0.3">
      <c r="A3" s="110" t="s">
        <v>155</v>
      </c>
      <c r="B3" s="110"/>
      <c r="C3" s="110"/>
      <c r="D3" s="110"/>
      <c r="E3" s="110"/>
      <c r="F3" s="110"/>
      <c r="G3" s="110"/>
      <c r="H3" s="110"/>
      <c r="I3" s="110"/>
      <c r="J3" s="110"/>
      <c r="K3" s="110"/>
      <c r="L3" s="110"/>
      <c r="M3" s="110"/>
      <c r="N3" s="110"/>
      <c r="O3" s="110"/>
      <c r="P3" s="110"/>
      <c r="Q3" s="110"/>
    </row>
    <row r="7" spans="1:17" ht="23.4" x14ac:dyDescent="0.3">
      <c r="A7" s="68" t="s">
        <v>102</v>
      </c>
    </row>
    <row r="9" spans="1:17" ht="15.6" customHeight="1" x14ac:dyDescent="0.3">
      <c r="A9" s="108" t="s">
        <v>103</v>
      </c>
      <c r="B9" s="108"/>
      <c r="C9" s="108"/>
      <c r="D9" s="108"/>
      <c r="E9" s="108"/>
      <c r="F9" s="108"/>
      <c r="G9" s="108"/>
      <c r="H9" s="108"/>
      <c r="I9" s="108"/>
      <c r="J9" s="108"/>
      <c r="K9" s="108"/>
      <c r="L9" s="108"/>
      <c r="M9" s="108"/>
      <c r="N9" s="108"/>
      <c r="O9" s="108"/>
      <c r="P9" s="108"/>
    </row>
    <row r="10" spans="1:17" ht="15.6" customHeight="1" x14ac:dyDescent="0.3">
      <c r="A10" s="108"/>
      <c r="B10" s="108"/>
      <c r="C10" s="108"/>
      <c r="D10" s="108"/>
      <c r="E10" s="108"/>
      <c r="F10" s="108"/>
      <c r="G10" s="108"/>
      <c r="H10" s="108"/>
      <c r="I10" s="108"/>
      <c r="J10" s="108"/>
      <c r="K10" s="108"/>
      <c r="L10" s="108"/>
      <c r="M10" s="108"/>
      <c r="N10" s="108"/>
      <c r="O10" s="108"/>
      <c r="P10" s="108"/>
    </row>
    <row r="11" spans="1:17" ht="15.6" x14ac:dyDescent="0.3">
      <c r="A11" s="5"/>
    </row>
    <row r="12" spans="1:17" ht="15.6" x14ac:dyDescent="0.3">
      <c r="A12" s="5" t="s">
        <v>104</v>
      </c>
    </row>
    <row r="16" spans="1:17" ht="23.4" x14ac:dyDescent="0.3">
      <c r="A16" s="68" t="s">
        <v>105</v>
      </c>
    </row>
    <row r="17" spans="1:1" x14ac:dyDescent="0.3">
      <c r="A17" s="69"/>
    </row>
    <row r="18" spans="1:1" ht="15.6" x14ac:dyDescent="0.3">
      <c r="A18" s="70" t="s">
        <v>106</v>
      </c>
    </row>
    <row r="19" spans="1:1" ht="15.6" x14ac:dyDescent="0.3">
      <c r="A19" s="70" t="s">
        <v>107</v>
      </c>
    </row>
    <row r="20" spans="1:1" ht="15.6" x14ac:dyDescent="0.3">
      <c r="A20" s="70" t="s">
        <v>108</v>
      </c>
    </row>
    <row r="21" spans="1:1" ht="15.6" x14ac:dyDescent="0.3">
      <c r="A21" s="70" t="s">
        <v>109</v>
      </c>
    </row>
    <row r="22" spans="1:1" ht="15.6" x14ac:dyDescent="0.3">
      <c r="A22" s="70" t="s">
        <v>110</v>
      </c>
    </row>
    <row r="23" spans="1:1" ht="15.6" x14ac:dyDescent="0.3">
      <c r="A23" s="70" t="s">
        <v>111</v>
      </c>
    </row>
    <row r="24" spans="1:1" ht="15.6" x14ac:dyDescent="0.3">
      <c r="A24" s="5"/>
    </row>
    <row r="25" spans="1:1" ht="15.6" x14ac:dyDescent="0.3">
      <c r="A25" s="5"/>
    </row>
    <row r="26" spans="1:1" ht="15.6" x14ac:dyDescent="0.3">
      <c r="A26" s="5"/>
    </row>
    <row r="27" spans="1:1" ht="23.4" x14ac:dyDescent="0.3">
      <c r="A27" s="68" t="s">
        <v>112</v>
      </c>
    </row>
    <row r="28" spans="1:1" x14ac:dyDescent="0.3">
      <c r="A28" s="69"/>
    </row>
    <row r="29" spans="1:1" ht="15.6" x14ac:dyDescent="0.3">
      <c r="A29" s="70" t="s">
        <v>113</v>
      </c>
    </row>
    <row r="30" spans="1:1" ht="15.6" x14ac:dyDescent="0.3">
      <c r="A30" s="70" t="s">
        <v>114</v>
      </c>
    </row>
    <row r="31" spans="1:1" ht="15.6" x14ac:dyDescent="0.3">
      <c r="A31" s="70" t="s">
        <v>115</v>
      </c>
    </row>
    <row r="32" spans="1:1" ht="15.6" x14ac:dyDescent="0.3">
      <c r="A32" s="70" t="s">
        <v>116</v>
      </c>
    </row>
    <row r="33" spans="1:1" ht="15.6" x14ac:dyDescent="0.3">
      <c r="A33" s="70" t="s">
        <v>117</v>
      </c>
    </row>
    <row r="34" spans="1:1" ht="15.6" x14ac:dyDescent="0.3">
      <c r="A34" s="70" t="s">
        <v>118</v>
      </c>
    </row>
    <row r="35" spans="1:1" ht="15.6" x14ac:dyDescent="0.3">
      <c r="A35" s="70" t="s">
        <v>119</v>
      </c>
    </row>
    <row r="36" spans="1:1" ht="15.6" x14ac:dyDescent="0.3">
      <c r="A36" s="70" t="s">
        <v>120</v>
      </c>
    </row>
    <row r="37" spans="1:1" ht="15.6" x14ac:dyDescent="0.3">
      <c r="A37" s="5"/>
    </row>
    <row r="38" spans="1:1" ht="15.6" x14ac:dyDescent="0.3">
      <c r="A38" s="5"/>
    </row>
    <row r="39" spans="1:1" ht="15.6" x14ac:dyDescent="0.3">
      <c r="A39" s="5"/>
    </row>
    <row r="40" spans="1:1" ht="23.4" x14ac:dyDescent="0.3">
      <c r="A40" s="68" t="s">
        <v>121</v>
      </c>
    </row>
    <row r="42" spans="1:1" ht="15.6" x14ac:dyDescent="0.3">
      <c r="A42" s="5" t="s">
        <v>153</v>
      </c>
    </row>
    <row r="43" spans="1:1" ht="15.6" x14ac:dyDescent="0.3">
      <c r="A43" s="70"/>
    </row>
    <row r="44" spans="1:1" ht="15.6" x14ac:dyDescent="0.3">
      <c r="A44" s="70" t="s">
        <v>122</v>
      </c>
    </row>
    <row r="45" spans="1:1" ht="15.6" x14ac:dyDescent="0.3">
      <c r="A45" s="70" t="s">
        <v>123</v>
      </c>
    </row>
    <row r="46" spans="1:1" ht="15.6" x14ac:dyDescent="0.3">
      <c r="A46" s="70" t="s">
        <v>124</v>
      </c>
    </row>
    <row r="47" spans="1:1" ht="15.6" x14ac:dyDescent="0.3">
      <c r="A47" s="70" t="s">
        <v>125</v>
      </c>
    </row>
    <row r="48" spans="1:1" ht="15.6" x14ac:dyDescent="0.3">
      <c r="A48" s="70" t="s">
        <v>126</v>
      </c>
    </row>
    <row r="52" spans="1:1" ht="23.4" x14ac:dyDescent="0.3">
      <c r="A52" s="68" t="s">
        <v>127</v>
      </c>
    </row>
    <row r="53" spans="1:1" ht="15.6" x14ac:dyDescent="0.3">
      <c r="A53" s="70"/>
    </row>
    <row r="54" spans="1:1" ht="15.6" x14ac:dyDescent="0.3">
      <c r="A54" s="70" t="s">
        <v>128</v>
      </c>
    </row>
    <row r="55" spans="1:1" ht="15.6" x14ac:dyDescent="0.3">
      <c r="A55" s="70" t="s">
        <v>129</v>
      </c>
    </row>
    <row r="56" spans="1:1" ht="15.6" x14ac:dyDescent="0.3">
      <c r="A56" s="70" t="s">
        <v>130</v>
      </c>
    </row>
    <row r="57" spans="1:1" ht="15.6" x14ac:dyDescent="0.3">
      <c r="A57" s="70" t="s">
        <v>131</v>
      </c>
    </row>
    <row r="58" spans="1:1" ht="15.6" x14ac:dyDescent="0.3">
      <c r="A58" s="70" t="s">
        <v>132</v>
      </c>
    </row>
    <row r="59" spans="1:1" ht="15.6" x14ac:dyDescent="0.3">
      <c r="A59" s="70" t="s">
        <v>133</v>
      </c>
    </row>
    <row r="60" spans="1:1" ht="15.6" x14ac:dyDescent="0.3">
      <c r="A60" s="70" t="s">
        <v>134</v>
      </c>
    </row>
    <row r="61" spans="1:1" ht="15.6" x14ac:dyDescent="0.3">
      <c r="A61" s="70" t="s">
        <v>135</v>
      </c>
    </row>
    <row r="62" spans="1:1" ht="15.6" x14ac:dyDescent="0.3">
      <c r="A62" s="5"/>
    </row>
    <row r="63" spans="1:1" ht="15.6" x14ac:dyDescent="0.3">
      <c r="A63" s="5"/>
    </row>
    <row r="64" spans="1:1" ht="15.6" x14ac:dyDescent="0.3">
      <c r="A64" s="5"/>
    </row>
    <row r="65" spans="1:16" ht="23.4" x14ac:dyDescent="0.3">
      <c r="A65" s="68" t="s">
        <v>136</v>
      </c>
    </row>
    <row r="66" spans="1:16" ht="15.6" x14ac:dyDescent="0.3">
      <c r="A66" s="5"/>
    </row>
    <row r="67" spans="1:16" ht="15.6" x14ac:dyDescent="0.3">
      <c r="A67" s="5" t="s">
        <v>137</v>
      </c>
    </row>
    <row r="68" spans="1:16" ht="15.6" x14ac:dyDescent="0.3">
      <c r="A68" s="70"/>
    </row>
    <row r="69" spans="1:16" ht="15.6" x14ac:dyDescent="0.3">
      <c r="A69" s="70" t="s">
        <v>138</v>
      </c>
    </row>
    <row r="70" spans="1:16" ht="15.6" x14ac:dyDescent="0.3">
      <c r="A70" s="70" t="s">
        <v>139</v>
      </c>
    </row>
    <row r="71" spans="1:16" ht="15.6" x14ac:dyDescent="0.3">
      <c r="A71" s="70" t="s">
        <v>140</v>
      </c>
    </row>
    <row r="72" spans="1:16" ht="15.6" x14ac:dyDescent="0.3">
      <c r="A72" s="70" t="s">
        <v>141</v>
      </c>
    </row>
    <row r="73" spans="1:16" ht="15.6" x14ac:dyDescent="0.3">
      <c r="A73" s="70" t="s">
        <v>142</v>
      </c>
    </row>
    <row r="74" spans="1:16" ht="15.6" x14ac:dyDescent="0.3">
      <c r="A74" s="5"/>
    </row>
    <row r="75" spans="1:16" ht="15.6" x14ac:dyDescent="0.3">
      <c r="A75" s="5"/>
    </row>
    <row r="76" spans="1:16" ht="15.6" x14ac:dyDescent="0.3">
      <c r="A76" s="5"/>
    </row>
    <row r="77" spans="1:16" ht="23.4" x14ac:dyDescent="0.3">
      <c r="A77" s="68" t="s">
        <v>143</v>
      </c>
    </row>
    <row r="78" spans="1:16" ht="15.6" x14ac:dyDescent="0.3">
      <c r="A78" s="5"/>
      <c r="B78" s="5"/>
      <c r="C78" s="5"/>
      <c r="D78" s="5"/>
      <c r="E78" s="5"/>
      <c r="F78" s="5"/>
      <c r="G78" s="5"/>
      <c r="H78" s="5"/>
      <c r="I78" s="5"/>
      <c r="J78" s="5"/>
      <c r="K78" s="5"/>
      <c r="L78" s="5"/>
      <c r="M78" s="5"/>
      <c r="N78" s="5"/>
      <c r="O78" s="5"/>
      <c r="P78" s="5"/>
    </row>
    <row r="79" spans="1:16" x14ac:dyDescent="0.3">
      <c r="A79" s="108" t="s">
        <v>144</v>
      </c>
      <c r="B79" s="108"/>
      <c r="C79" s="108"/>
      <c r="D79" s="108"/>
      <c r="E79" s="108"/>
      <c r="F79" s="108"/>
      <c r="G79" s="108"/>
      <c r="H79" s="108"/>
      <c r="I79" s="108"/>
      <c r="J79" s="108"/>
      <c r="K79" s="108"/>
      <c r="L79" s="108"/>
      <c r="M79" s="108"/>
      <c r="N79" s="108"/>
      <c r="O79" s="108"/>
      <c r="P79" s="108"/>
    </row>
    <row r="80" spans="1:16" x14ac:dyDescent="0.3">
      <c r="A80" s="108"/>
      <c r="B80" s="108"/>
      <c r="C80" s="108"/>
      <c r="D80" s="108"/>
      <c r="E80" s="108"/>
      <c r="F80" s="108"/>
      <c r="G80" s="108"/>
      <c r="H80" s="108"/>
      <c r="I80" s="108"/>
      <c r="J80" s="108"/>
      <c r="K80" s="108"/>
      <c r="L80" s="108"/>
      <c r="M80" s="108"/>
      <c r="N80" s="108"/>
      <c r="O80" s="108"/>
      <c r="P80" s="108"/>
    </row>
    <row r="81" spans="1:16" ht="15.6" x14ac:dyDescent="0.3">
      <c r="A81" s="5"/>
      <c r="B81" s="5"/>
      <c r="C81" s="5"/>
      <c r="D81" s="5"/>
      <c r="E81" s="5"/>
      <c r="F81" s="5"/>
      <c r="G81" s="5"/>
      <c r="H81" s="5"/>
      <c r="I81" s="5"/>
      <c r="J81" s="5"/>
      <c r="K81" s="5"/>
      <c r="L81" s="5"/>
      <c r="M81" s="5"/>
      <c r="N81" s="5"/>
      <c r="O81" s="5"/>
      <c r="P81" s="5"/>
    </row>
    <row r="82" spans="1:16" ht="15.6" x14ac:dyDescent="0.3">
      <c r="A82" s="5"/>
      <c r="B82" s="5"/>
      <c r="C82" s="5"/>
      <c r="D82" s="5"/>
      <c r="E82" s="5"/>
      <c r="F82" s="5"/>
      <c r="G82" s="5"/>
      <c r="H82" s="5"/>
      <c r="I82" s="5"/>
      <c r="J82" s="5"/>
      <c r="K82" s="5"/>
      <c r="L82" s="5"/>
      <c r="M82" s="5"/>
      <c r="N82" s="5"/>
      <c r="O82" s="5"/>
      <c r="P82" s="5"/>
    </row>
    <row r="83" spans="1:16" ht="15.6" x14ac:dyDescent="0.3">
      <c r="A83" s="5"/>
      <c r="B83" s="5"/>
      <c r="C83" s="5"/>
      <c r="D83" s="5"/>
      <c r="E83" s="5"/>
      <c r="F83" s="5"/>
      <c r="G83" s="5"/>
      <c r="H83" s="5"/>
      <c r="I83" s="5"/>
      <c r="J83" s="5"/>
      <c r="K83" s="5"/>
      <c r="L83" s="5"/>
      <c r="M83" s="5"/>
      <c r="N83" s="5"/>
      <c r="O83" s="5"/>
      <c r="P83" s="5"/>
    </row>
    <row r="84" spans="1:16" ht="23.4" x14ac:dyDescent="0.3">
      <c r="A84" s="68" t="s">
        <v>145</v>
      </c>
    </row>
    <row r="85" spans="1:16" ht="15.6" x14ac:dyDescent="0.3">
      <c r="A85" s="5"/>
    </row>
    <row r="86" spans="1:16" ht="15.6" x14ac:dyDescent="0.3">
      <c r="A86" s="5" t="s">
        <v>146</v>
      </c>
    </row>
    <row r="87" spans="1:16" ht="15.6" x14ac:dyDescent="0.3">
      <c r="A87" s="5"/>
    </row>
    <row r="88" spans="1:16" ht="15.6" x14ac:dyDescent="0.3">
      <c r="A88" s="5" t="s">
        <v>147</v>
      </c>
    </row>
    <row r="89" spans="1:16" ht="15.6" x14ac:dyDescent="0.3">
      <c r="A89" s="5"/>
    </row>
    <row r="90" spans="1:16" ht="15.6" x14ac:dyDescent="0.3">
      <c r="A90" s="5" t="s">
        <v>148</v>
      </c>
    </row>
    <row r="91" spans="1:16" ht="15.6" x14ac:dyDescent="0.3">
      <c r="A91" s="5"/>
    </row>
    <row r="92" spans="1:16" ht="15.6" x14ac:dyDescent="0.3">
      <c r="A92" s="5" t="s">
        <v>149</v>
      </c>
    </row>
    <row r="93" spans="1:16" ht="15.6" x14ac:dyDescent="0.3">
      <c r="A93" s="5"/>
    </row>
    <row r="94" spans="1:16" ht="15.6" x14ac:dyDescent="0.3">
      <c r="A94" s="5" t="s">
        <v>150</v>
      </c>
    </row>
    <row r="95" spans="1:16" ht="15.6" x14ac:dyDescent="0.3">
      <c r="A95" s="5"/>
    </row>
    <row r="96" spans="1:16" ht="15.6" x14ac:dyDescent="0.3">
      <c r="A96" s="5" t="s">
        <v>151</v>
      </c>
    </row>
    <row r="97" spans="1:2" ht="15.6" x14ac:dyDescent="0.3">
      <c r="A97" s="5"/>
    </row>
    <row r="98" spans="1:2" ht="15.6" x14ac:dyDescent="0.3">
      <c r="A98" s="5" t="s">
        <v>152</v>
      </c>
    </row>
    <row r="99" spans="1:2" ht="15.6" x14ac:dyDescent="0.3">
      <c r="A99" s="5"/>
    </row>
    <row r="100" spans="1:2" ht="15.6" x14ac:dyDescent="0.3">
      <c r="A100" s="5"/>
    </row>
    <row r="101" spans="1:2" ht="15.6" x14ac:dyDescent="0.3">
      <c r="A101" s="5"/>
    </row>
    <row r="102" spans="1:2" ht="15.6" x14ac:dyDescent="0.3">
      <c r="A102" s="5"/>
    </row>
    <row r="103" spans="1:2" ht="15.6" x14ac:dyDescent="0.3">
      <c r="A103" s="5"/>
    </row>
    <row r="104" spans="1:2" ht="15.6" x14ac:dyDescent="0.3">
      <c r="A104" s="5"/>
    </row>
    <row r="105" spans="1:2" ht="15.6" x14ac:dyDescent="0.3">
      <c r="A105" s="5"/>
    </row>
    <row r="106" spans="1:2" ht="15.6" x14ac:dyDescent="0.3">
      <c r="A106" s="5"/>
    </row>
    <row r="107" spans="1:2" ht="15.6" x14ac:dyDescent="0.3">
      <c r="A107" s="5"/>
    </row>
    <row r="108" spans="1:2" ht="15.6" x14ac:dyDescent="0.3">
      <c r="A108" s="5"/>
    </row>
    <row r="109" spans="1:2" ht="15.6" x14ac:dyDescent="0.3">
      <c r="A109" s="5"/>
    </row>
    <row r="110" spans="1:2" ht="15.6" x14ac:dyDescent="0.3">
      <c r="A110" s="5"/>
    </row>
    <row r="111" spans="1:2" ht="15.6" x14ac:dyDescent="0.3">
      <c r="A111" s="5"/>
    </row>
    <row r="112" spans="1:2" ht="15.6" x14ac:dyDescent="0.3">
      <c r="A112" s="5"/>
      <c r="B112" s="111" t="s">
        <v>157</v>
      </c>
    </row>
    <row r="113" spans="1:2" ht="15.6" x14ac:dyDescent="0.3">
      <c r="A113" s="5"/>
      <c r="B113" s="111" t="s">
        <v>159</v>
      </c>
    </row>
    <row r="114" spans="1:2" x14ac:dyDescent="0.3">
      <c r="B114" s="112" t="s">
        <v>158</v>
      </c>
    </row>
  </sheetData>
  <mergeCells count="4">
    <mergeCell ref="A9:P10"/>
    <mergeCell ref="A79:P80"/>
    <mergeCell ref="A1:Q1"/>
    <mergeCell ref="A3:Q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vs Sales</vt:lpstr>
      <vt:lpstr>Region vs Sales</vt:lpstr>
      <vt:lpstr>Category vs Sales</vt:lpstr>
      <vt:lpstr>Product vs Sales</vt:lpstr>
      <vt:lpstr>Sales_Data</vt:lpstr>
      <vt:lpstr>Project-001 Portfolio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Sanjeewani Pathinayake</cp:lastModifiedBy>
  <cp:lastPrinted>2026-07-14T09:42:47Z</cp:lastPrinted>
  <dcterms:created xsi:type="dcterms:W3CDTF">2026-07-11T10:39:08Z</dcterms:created>
  <dcterms:modified xsi:type="dcterms:W3CDTF">2026-07-26T06:12:58Z</dcterms:modified>
</cp:coreProperties>
</file>